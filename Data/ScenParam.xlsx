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昊阳\Desktop\Alpha\01 Model\01 COBRA\ver5.2\Data\"/>
    </mc:Choice>
  </mc:AlternateContent>
  <xr:revisionPtr revIDLastSave="0" documentId="13_ncr:1_{950B24BB-3A98-46FF-A11A-FB16CBB6D4CE}" xr6:coauthVersionLast="47" xr6:coauthVersionMax="47" xr10:uidLastSave="{00000000-0000-0000-0000-000000000000}"/>
  <bookViews>
    <workbookView xWindow="1335" yWindow="990" windowWidth="17775" windowHeight="13260" xr2:uid="{00000000-000D-0000-FFFF-FFFF00000000}"/>
  </bookViews>
  <sheets>
    <sheet name="ScenParam" sheetId="1" r:id="rId1"/>
  </sheets>
  <calcPr calcId="191029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" i="1" l="1"/>
  <c r="O5" i="1"/>
  <c r="R4" i="1"/>
  <c r="R3" i="1"/>
  <c r="R5" i="1" l="1"/>
  <c r="M5" i="1" l="1"/>
  <c r="L5" i="1"/>
  <c r="K5" i="1"/>
  <c r="J5" i="1"/>
  <c r="I5" i="1"/>
  <c r="E5" i="1"/>
  <c r="G5" i="1"/>
  <c r="H5" i="1"/>
  <c r="N5" i="1"/>
  <c r="C5" i="1"/>
  <c r="D5" i="1"/>
  <c r="F5" i="1"/>
  <c r="B5" i="1"/>
</calcChain>
</file>

<file path=xl/sharedStrings.xml><?xml version="1.0" encoding="utf-8"?>
<sst xmlns="http://schemas.openxmlformats.org/spreadsheetml/2006/main" count="31" uniqueCount="31">
  <si>
    <t>Discount factor: Li</t>
    <phoneticPr fontId="1" type="noConversion"/>
  </si>
  <si>
    <t>Discount factor: Ni</t>
    <phoneticPr fontId="1" type="noConversion"/>
  </si>
  <si>
    <t>Discount factor: Co</t>
    <phoneticPr fontId="1" type="noConversion"/>
  </si>
  <si>
    <t>Price: Li2CO3</t>
    <phoneticPr fontId="1" type="noConversion"/>
  </si>
  <si>
    <t>Price: NCM precursor</t>
    <phoneticPr fontId="1" type="noConversion"/>
  </si>
  <si>
    <t>Price: NiSO4</t>
    <phoneticPr fontId="1" type="noConversion"/>
  </si>
  <si>
    <t>Price: CoSO4</t>
    <phoneticPr fontId="1" type="noConversion"/>
  </si>
  <si>
    <t>Price: MnSO4</t>
    <phoneticPr fontId="1" type="noConversion"/>
  </si>
  <si>
    <t>BAU</t>
    <phoneticPr fontId="1" type="noConversion"/>
  </si>
  <si>
    <t>Ni</t>
    <phoneticPr fontId="1" type="noConversion"/>
  </si>
  <si>
    <t>Co</t>
    <phoneticPr fontId="1" type="noConversion"/>
  </si>
  <si>
    <t>Total</t>
    <phoneticPr fontId="1" type="noConversion"/>
  </si>
  <si>
    <t>Carbon tax growth rate</t>
    <phoneticPr fontId="1" type="noConversion"/>
  </si>
  <si>
    <t>CCPS</t>
    <phoneticPr fontId="1" type="noConversion"/>
  </si>
  <si>
    <t>ACPS</t>
    <phoneticPr fontId="1" type="noConversion"/>
  </si>
  <si>
    <t>Corporation tax rate</t>
  </si>
  <si>
    <t>Learning rate 1 (low)</t>
    <phoneticPr fontId="1" type="noConversion"/>
  </si>
  <si>
    <t>Learning rate 2 (high)</t>
    <phoneticPr fontId="1" type="noConversion"/>
  </si>
  <si>
    <t>LLPS</t>
    <phoneticPr fontId="1" type="noConversion"/>
  </si>
  <si>
    <t>HLPS</t>
    <phoneticPr fontId="1" type="noConversion"/>
  </si>
  <si>
    <t>LNPS</t>
    <phoneticPr fontId="1" type="noConversion"/>
  </si>
  <si>
    <t>HNPS</t>
    <phoneticPr fontId="1" type="noConversion"/>
  </si>
  <si>
    <t>LCPS</t>
    <phoneticPr fontId="1" type="noConversion"/>
  </si>
  <si>
    <t>HCPS</t>
    <phoneticPr fontId="1" type="noConversion"/>
  </si>
  <si>
    <t>Grid decarbonization factor</t>
    <phoneticPr fontId="1" type="noConversion"/>
  </si>
  <si>
    <t>HLRS</t>
    <phoneticPr fontId="1" type="noConversion"/>
  </si>
  <si>
    <t>LLRS</t>
    <phoneticPr fontId="1" type="noConversion"/>
  </si>
  <si>
    <t>LCTS</t>
    <phoneticPr fontId="1" type="noConversion"/>
  </si>
  <si>
    <t>HCTS</t>
    <phoneticPr fontId="1" type="noConversion"/>
  </si>
  <si>
    <t>CGDS</t>
    <phoneticPr fontId="1" type="noConversion"/>
  </si>
  <si>
    <t>AGDS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</si>
</sst>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_);[Red]\(#,##0\)"/>
    <numFmt numFmtId="178" formatCode="0.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7" fontId="3" fillId="0" borderId="0" xfId="0" applyNumberFormat="1" applyFont="1" applyAlignment="1">
      <alignment vertical="center"/>
    </xf>
    <xf numFmtId="176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9" fontId="0" fillId="0" borderId="0" xfId="0" applyNumberFormat="1" applyAlignment="1">
      <alignment vertical="center"/>
    </xf>
    <xf numFmtId="9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77" fontId="0" fillId="0" borderId="0" xfId="0" applyNumberFormat="1" applyFont="1" applyAlignment="1">
      <alignment vertical="center"/>
    </xf>
    <xf numFmtId="9" fontId="0" fillId="0" borderId="0" xfId="0" applyNumberFormat="1" applyAlignment="1">
      <alignment vertical="center"/>
    </xf>
    <xf numFmtId="178" fontId="0" fillId="0" borderId="0" xfId="0" applyNumberFormat="1"/>
    <xf numFmtId="178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6"/>
  <sheetViews>
    <sheetView tabSelected="1" topLeftCell="I1" zoomScale="160" zoomScaleNormal="160" workbookViewId="0">
      <selection activeCell="P15" sqref="P15"/>
    </sheetView>
  </sheetViews>
  <sheetFormatPr defaultRowHeight="14.25" x14ac:dyDescent="0.2"/>
  <cols>
    <col min="1" max="1" width="26.625" bestFit="1" customWidth="1"/>
    <col min="2" max="2" width="9" customWidth="1"/>
  </cols>
  <sheetData>
    <row r="1" spans="1:22" s="1" customFormat="1" x14ac:dyDescent="0.2">
      <c r="A1" s="7"/>
      <c r="B1" s="7" t="s">
        <v>8</v>
      </c>
      <c r="C1" s="7" t="s">
        <v>18</v>
      </c>
      <c r="D1" s="7" t="s">
        <v>19</v>
      </c>
      <c r="E1" s="7" t="s">
        <v>20</v>
      </c>
      <c r="F1" s="7" t="s">
        <v>21</v>
      </c>
      <c r="G1" s="7" t="s">
        <v>22</v>
      </c>
      <c r="H1" s="7" t="s">
        <v>23</v>
      </c>
      <c r="I1" s="7" t="s">
        <v>27</v>
      </c>
      <c r="J1" s="7" t="s">
        <v>28</v>
      </c>
      <c r="K1" s="7" t="s">
        <v>13</v>
      </c>
      <c r="L1" s="7" t="s">
        <v>14</v>
      </c>
      <c r="M1" s="7" t="s">
        <v>26</v>
      </c>
      <c r="N1" s="7" t="s">
        <v>25</v>
      </c>
      <c r="O1" s="7" t="s">
        <v>29</v>
      </c>
      <c r="P1" s="7" t="s">
        <v>30</v>
      </c>
      <c r="Q1" s="7"/>
      <c r="R1" s="7"/>
    </row>
    <row r="2" spans="1:22" x14ac:dyDescent="0.2">
      <c r="A2" s="7" t="s">
        <v>0</v>
      </c>
      <c r="B2" s="4">
        <v>0.65949999999999998</v>
      </c>
      <c r="C2" s="6">
        <v>0.55000000000000004</v>
      </c>
      <c r="D2" s="6">
        <v>0.75</v>
      </c>
      <c r="E2" s="4">
        <v>0.65949999999999998</v>
      </c>
      <c r="F2" s="4">
        <v>0.65949999999999998</v>
      </c>
      <c r="G2" s="4">
        <v>0.65949999999999998</v>
      </c>
      <c r="H2" s="4">
        <v>0.65949999999999998</v>
      </c>
      <c r="I2" s="4">
        <v>0.65949999999999998</v>
      </c>
      <c r="J2" s="4">
        <v>0.65949999999999998</v>
      </c>
      <c r="K2" s="4">
        <v>0.65949999999999998</v>
      </c>
      <c r="L2" s="4">
        <v>0.65949999999999998</v>
      </c>
      <c r="M2" s="4">
        <v>0.65949999999999998</v>
      </c>
      <c r="N2" s="4">
        <v>0.65949999999999998</v>
      </c>
      <c r="O2" s="4">
        <v>0.65949999999999998</v>
      </c>
      <c r="P2" s="4">
        <v>0.65949999999999998</v>
      </c>
    </row>
    <row r="3" spans="1:22" x14ac:dyDescent="0.2">
      <c r="A3" s="7" t="s">
        <v>1</v>
      </c>
      <c r="B3" s="4">
        <v>0.65949999999999998</v>
      </c>
      <c r="C3" s="4">
        <v>0.65949999999999998</v>
      </c>
      <c r="D3" s="4">
        <v>0.65949999999999998</v>
      </c>
      <c r="E3" s="6">
        <v>0.55000000000000004</v>
      </c>
      <c r="F3" s="6">
        <v>0.75</v>
      </c>
      <c r="G3" s="4">
        <v>0.65949999999999998</v>
      </c>
      <c r="H3" s="4">
        <v>0.65949999999999998</v>
      </c>
      <c r="I3" s="4">
        <v>0.65949999999999998</v>
      </c>
      <c r="J3" s="4">
        <v>0.65949999999999998</v>
      </c>
      <c r="K3" s="4">
        <v>0.65949999999999998</v>
      </c>
      <c r="L3" s="4">
        <v>0.65949999999999998</v>
      </c>
      <c r="M3" s="4">
        <v>0.65949999999999998</v>
      </c>
      <c r="N3" s="4">
        <v>0.65949999999999998</v>
      </c>
      <c r="O3" s="4">
        <v>0.65949999999999998</v>
      </c>
      <c r="P3" s="4">
        <v>0.65949999999999998</v>
      </c>
      <c r="Q3" s="11" t="s">
        <v>9</v>
      </c>
      <c r="R3" s="10">
        <f>58.693*0.8/92.3555/20.5%*B7</f>
        <v>82920.325449736847</v>
      </c>
    </row>
    <row r="4" spans="1:22" x14ac:dyDescent="0.2">
      <c r="A4" s="7" t="s">
        <v>2</v>
      </c>
      <c r="B4" s="4">
        <v>0.65949999999999998</v>
      </c>
      <c r="C4" s="4">
        <v>0.65949999999999998</v>
      </c>
      <c r="D4" s="4">
        <v>0.65949999999999998</v>
      </c>
      <c r="E4" s="4">
        <v>0.65949999999999998</v>
      </c>
      <c r="F4" s="4">
        <v>0.65949999999999998</v>
      </c>
      <c r="G4" s="6">
        <v>0.55000000000000004</v>
      </c>
      <c r="H4" s="6">
        <v>0.75</v>
      </c>
      <c r="I4" s="4">
        <v>0.65949999999999998</v>
      </c>
      <c r="J4" s="4">
        <v>0.65949999999999998</v>
      </c>
      <c r="K4" s="4">
        <v>0.65949999999999998</v>
      </c>
      <c r="L4" s="4">
        <v>0.65949999999999998</v>
      </c>
      <c r="M4" s="4">
        <v>0.65949999999999998</v>
      </c>
      <c r="N4" s="4">
        <v>0.65949999999999998</v>
      </c>
      <c r="O4" s="4">
        <v>0.65949999999999998</v>
      </c>
      <c r="P4" s="4">
        <v>0.65949999999999998</v>
      </c>
      <c r="Q4" s="12" t="s">
        <v>10</v>
      </c>
      <c r="R4" s="10">
        <f>5.8933/92.3555/20.5%*B8</f>
        <v>11933.07122612503</v>
      </c>
    </row>
    <row r="5" spans="1:22" x14ac:dyDescent="0.2">
      <c r="A5" s="7" t="s">
        <v>4</v>
      </c>
      <c r="B5" s="13">
        <f t="shared" ref="B5:P5" si="0">106365.5*($R3/$R5*B7/$B$7+$R4/$R5*B8/$B$8)</f>
        <v>106365.5</v>
      </c>
      <c r="C5" s="13">
        <f t="shared" si="0"/>
        <v>106365.5</v>
      </c>
      <c r="D5" s="13">
        <f t="shared" si="0"/>
        <v>106365.5</v>
      </c>
      <c r="E5" s="5">
        <f t="shared" si="0"/>
        <v>85688.451722193597</v>
      </c>
      <c r="F5" s="5">
        <f t="shared" si="0"/>
        <v>174681.8000597599</v>
      </c>
      <c r="G5" s="5">
        <f t="shared" si="0"/>
        <v>103106.64463065926</v>
      </c>
      <c r="H5" s="5">
        <f t="shared" si="0"/>
        <v>134870.35412723859</v>
      </c>
      <c r="I5" s="13">
        <f t="shared" si="0"/>
        <v>106365.5</v>
      </c>
      <c r="J5" s="13">
        <f t="shared" si="0"/>
        <v>106365.5</v>
      </c>
      <c r="K5" s="13">
        <f t="shared" si="0"/>
        <v>106365.5</v>
      </c>
      <c r="L5" s="13">
        <f t="shared" si="0"/>
        <v>106365.5</v>
      </c>
      <c r="M5" s="13">
        <f t="shared" si="0"/>
        <v>106365.5</v>
      </c>
      <c r="N5" s="13">
        <f t="shared" si="0"/>
        <v>106365.5</v>
      </c>
      <c r="O5" s="13">
        <f t="shared" si="0"/>
        <v>106365.5</v>
      </c>
      <c r="P5" s="13">
        <f t="shared" si="0"/>
        <v>106365.5</v>
      </c>
      <c r="Q5" s="12" t="s">
        <v>11</v>
      </c>
      <c r="R5" s="10">
        <f>SUM(R2:R4)</f>
        <v>94853.396675861877</v>
      </c>
    </row>
    <row r="6" spans="1:22" x14ac:dyDescent="0.2">
      <c r="A6" s="7" t="s">
        <v>3</v>
      </c>
      <c r="B6" s="3">
        <v>262410.09999999998</v>
      </c>
      <c r="C6" s="5">
        <v>90000</v>
      </c>
      <c r="D6" s="5">
        <v>600000</v>
      </c>
      <c r="E6" s="3">
        <v>262410.09999999998</v>
      </c>
      <c r="F6" s="3">
        <v>262410.09999999998</v>
      </c>
      <c r="G6" s="3">
        <v>262410.09999999998</v>
      </c>
      <c r="H6" s="3">
        <v>262410.09999999998</v>
      </c>
      <c r="I6" s="3">
        <v>262410.09999999998</v>
      </c>
      <c r="J6" s="3">
        <v>262410.09999999998</v>
      </c>
      <c r="K6" s="3">
        <v>262410.09999999998</v>
      </c>
      <c r="L6" s="3">
        <v>262410.09999999998</v>
      </c>
      <c r="M6" s="3">
        <v>262410.09999999998</v>
      </c>
      <c r="N6" s="3">
        <v>262410.09999999998</v>
      </c>
      <c r="O6" s="3">
        <v>262410.09999999998</v>
      </c>
      <c r="P6" s="3">
        <v>262410.09999999998</v>
      </c>
      <c r="Q6" s="5"/>
      <c r="R6" s="10"/>
    </row>
    <row r="7" spans="1:22" x14ac:dyDescent="0.2">
      <c r="A7" s="7" t="s">
        <v>5</v>
      </c>
      <c r="B7" s="3">
        <v>33435</v>
      </c>
      <c r="C7" s="3">
        <v>33435</v>
      </c>
      <c r="D7" s="3">
        <v>33435</v>
      </c>
      <c r="E7" s="5">
        <v>26000</v>
      </c>
      <c r="F7" s="5">
        <v>58000</v>
      </c>
      <c r="G7" s="3">
        <v>33435</v>
      </c>
      <c r="H7" s="3">
        <v>33435</v>
      </c>
      <c r="I7" s="3">
        <v>33435</v>
      </c>
      <c r="J7" s="3">
        <v>33435</v>
      </c>
      <c r="K7" s="3">
        <v>33435</v>
      </c>
      <c r="L7" s="3">
        <v>33435</v>
      </c>
      <c r="M7" s="3">
        <v>33435</v>
      </c>
      <c r="N7" s="3">
        <v>33435</v>
      </c>
      <c r="O7" s="3">
        <v>33435</v>
      </c>
      <c r="P7" s="3">
        <v>33435</v>
      </c>
      <c r="Q7" s="5"/>
      <c r="R7" s="10"/>
    </row>
    <row r="8" spans="1:22" x14ac:dyDescent="0.2">
      <c r="A8" s="7" t="s">
        <v>6</v>
      </c>
      <c r="B8" s="3">
        <v>38336.31</v>
      </c>
      <c r="C8" s="3">
        <v>38336.31</v>
      </c>
      <c r="D8" s="3">
        <v>38336.31</v>
      </c>
      <c r="E8" s="3">
        <v>38336.31</v>
      </c>
      <c r="F8" s="3">
        <v>38336.31</v>
      </c>
      <c r="G8" s="5">
        <v>29000</v>
      </c>
      <c r="H8" s="5">
        <v>120000</v>
      </c>
      <c r="I8" s="3">
        <v>38336.31</v>
      </c>
      <c r="J8" s="3">
        <v>38336.31</v>
      </c>
      <c r="K8" s="3">
        <v>38336.31</v>
      </c>
      <c r="L8" s="3">
        <v>38336.31</v>
      </c>
      <c r="M8" s="3">
        <v>38336.31</v>
      </c>
      <c r="N8" s="3">
        <v>38336.31</v>
      </c>
      <c r="O8" s="3">
        <v>38336.31</v>
      </c>
      <c r="P8" s="3">
        <v>38336.31</v>
      </c>
      <c r="Q8" s="3"/>
      <c r="R8" s="10"/>
    </row>
    <row r="9" spans="1:22" x14ac:dyDescent="0.2">
      <c r="A9" s="7" t="s">
        <v>7</v>
      </c>
      <c r="B9" s="3">
        <v>5880</v>
      </c>
      <c r="C9" s="3">
        <v>5880</v>
      </c>
      <c r="D9" s="3">
        <v>5880</v>
      </c>
      <c r="E9" s="3">
        <v>5880</v>
      </c>
      <c r="F9" s="3">
        <v>5880</v>
      </c>
      <c r="G9" s="3">
        <v>5880</v>
      </c>
      <c r="H9" s="3">
        <v>5880</v>
      </c>
      <c r="I9" s="3">
        <v>5880</v>
      </c>
      <c r="J9" s="3">
        <v>5880</v>
      </c>
      <c r="K9" s="3">
        <v>5880</v>
      </c>
      <c r="L9" s="3">
        <v>5880</v>
      </c>
      <c r="M9" s="3">
        <v>5880</v>
      </c>
      <c r="N9" s="3">
        <v>5880</v>
      </c>
      <c r="O9" s="3">
        <v>5880</v>
      </c>
      <c r="P9" s="3">
        <v>5880</v>
      </c>
      <c r="Q9" s="3"/>
      <c r="R9" s="10"/>
    </row>
    <row r="10" spans="1:22" x14ac:dyDescent="0.2">
      <c r="A10" s="7" t="s">
        <v>15</v>
      </c>
      <c r="B10" s="8">
        <v>0.15</v>
      </c>
      <c r="C10" s="8">
        <v>0.15</v>
      </c>
      <c r="D10" s="8">
        <v>0.15</v>
      </c>
      <c r="E10" s="8">
        <v>0.15</v>
      </c>
      <c r="F10" s="8">
        <v>0.15</v>
      </c>
      <c r="G10" s="8">
        <v>0.15</v>
      </c>
      <c r="H10" s="8">
        <v>0.15</v>
      </c>
      <c r="I10" s="9">
        <v>0.05</v>
      </c>
      <c r="J10" s="9">
        <v>0.25</v>
      </c>
      <c r="K10" s="8">
        <v>0.15</v>
      </c>
      <c r="L10" s="8">
        <v>0.15</v>
      </c>
      <c r="M10" s="8">
        <v>0.15</v>
      </c>
      <c r="N10" s="8">
        <v>0.15</v>
      </c>
      <c r="O10" s="14">
        <v>0.15</v>
      </c>
      <c r="P10" s="14">
        <v>0.15</v>
      </c>
      <c r="Q10" s="3"/>
      <c r="R10" s="10"/>
    </row>
    <row r="11" spans="1:22" x14ac:dyDescent="0.2">
      <c r="A11" s="7" t="s">
        <v>12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9">
        <v>0.05</v>
      </c>
      <c r="L11" s="9">
        <v>0.15</v>
      </c>
      <c r="M11" s="8">
        <v>0</v>
      </c>
      <c r="N11" s="8">
        <v>0</v>
      </c>
      <c r="O11" s="14">
        <v>0</v>
      </c>
      <c r="P11" s="14">
        <v>0</v>
      </c>
      <c r="Q11" s="4"/>
      <c r="R11" s="10"/>
    </row>
    <row r="12" spans="1:22" x14ac:dyDescent="0.2">
      <c r="A12" s="7" t="s">
        <v>16</v>
      </c>
      <c r="B12" s="4">
        <v>0.05</v>
      </c>
      <c r="C12" s="4">
        <v>0.05</v>
      </c>
      <c r="D12" s="4">
        <v>0.05</v>
      </c>
      <c r="E12" s="4">
        <v>0.05</v>
      </c>
      <c r="F12" s="4">
        <v>0.05</v>
      </c>
      <c r="G12" s="4">
        <v>0.05</v>
      </c>
      <c r="H12" s="4">
        <v>0.05</v>
      </c>
      <c r="I12" s="4">
        <v>0.05</v>
      </c>
      <c r="J12" s="4">
        <v>0.05</v>
      </c>
      <c r="K12" s="4">
        <v>0.05</v>
      </c>
      <c r="L12" s="4">
        <v>0.05</v>
      </c>
      <c r="M12" s="6">
        <v>2.5000000000000001E-2</v>
      </c>
      <c r="N12" s="6">
        <v>0.1</v>
      </c>
      <c r="O12" s="4">
        <v>0.05</v>
      </c>
      <c r="P12" s="4">
        <v>0.05</v>
      </c>
      <c r="Q12" s="4"/>
      <c r="R12" s="10"/>
    </row>
    <row r="13" spans="1:22" x14ac:dyDescent="0.2">
      <c r="A13" s="7" t="s">
        <v>17</v>
      </c>
      <c r="B13" s="4">
        <v>0.1</v>
      </c>
      <c r="C13" s="4">
        <v>0.1</v>
      </c>
      <c r="D13" s="4">
        <v>0.1</v>
      </c>
      <c r="E13" s="4">
        <v>0.1</v>
      </c>
      <c r="F13" s="4">
        <v>0.1</v>
      </c>
      <c r="G13" s="4">
        <v>0.1</v>
      </c>
      <c r="H13" s="4">
        <v>0.1</v>
      </c>
      <c r="I13" s="4">
        <v>0.1</v>
      </c>
      <c r="J13" s="4">
        <v>0.1</v>
      </c>
      <c r="K13" s="4">
        <v>0.1</v>
      </c>
      <c r="L13" s="4">
        <v>0.1</v>
      </c>
      <c r="M13" s="6">
        <v>0.05</v>
      </c>
      <c r="N13" s="6">
        <v>0.2</v>
      </c>
      <c r="O13" s="4">
        <v>0.1</v>
      </c>
      <c r="P13" s="4">
        <v>0.1</v>
      </c>
    </row>
    <row r="14" spans="1:22" x14ac:dyDescent="0.2">
      <c r="A14" s="7" t="s">
        <v>24</v>
      </c>
      <c r="B14" s="15">
        <v>1</v>
      </c>
      <c r="C14" s="15">
        <v>1</v>
      </c>
      <c r="D14" s="15">
        <v>1</v>
      </c>
      <c r="E14" s="15">
        <v>1</v>
      </c>
      <c r="F14" s="15">
        <v>1</v>
      </c>
      <c r="G14" s="15">
        <v>1</v>
      </c>
      <c r="H14" s="15">
        <v>1</v>
      </c>
      <c r="I14" s="15">
        <v>1</v>
      </c>
      <c r="J14" s="15">
        <v>1</v>
      </c>
      <c r="K14" s="15">
        <v>1</v>
      </c>
      <c r="L14" s="15">
        <v>1</v>
      </c>
      <c r="M14" s="15">
        <v>1</v>
      </c>
      <c r="N14" s="15">
        <v>1</v>
      </c>
      <c r="O14" s="16">
        <v>1.3</v>
      </c>
      <c r="P14" s="16">
        <v>0.7</v>
      </c>
    </row>
    <row r="16" spans="1:22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ScenParam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李昊阳</dc:creator>
  <cp:lastModifiedBy>Tron</cp:lastModifiedBy>
  <dcterms:created xsi:type="dcterms:W3CDTF">2015-06-05T18:19:34Z</dcterms:created>
  <dcterms:modified xsi:type="dcterms:W3CDTF">2025-11-16T03:00:41Z</dcterms:modified>
</cp:coreProperties>
</file>