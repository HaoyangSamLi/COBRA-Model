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昊阳\Desktop\Alpha\02 Model\ver3.3\Data\"/>
    </mc:Choice>
  </mc:AlternateContent>
  <xr:revisionPtr revIDLastSave="0" documentId="13_ncr:1_{C00DE249-F1CD-40B2-A4EB-4072A852E2E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tComp" sheetId="1" r:id="rId1"/>
    <sheet name="MatComp" sheetId="3" r:id="rId2"/>
    <sheet name="RMM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" i="3" l="1"/>
  <c r="F10" i="3"/>
  <c r="E10" i="3"/>
  <c r="D10" i="3"/>
  <c r="C10" i="3"/>
  <c r="B10" i="3"/>
  <c r="N12" i="2"/>
  <c r="M3" i="2"/>
  <c r="M4" i="2"/>
  <c r="M5" i="2"/>
  <c r="M6" i="2"/>
  <c r="M7" i="2"/>
  <c r="M8" i="2"/>
  <c r="M9" i="2"/>
  <c r="M10" i="2"/>
  <c r="M11" i="2"/>
  <c r="M12" i="2"/>
  <c r="M2" i="2"/>
  <c r="L3" i="2"/>
  <c r="L4" i="2"/>
  <c r="L5" i="2"/>
  <c r="L6" i="2"/>
  <c r="L7" i="2"/>
  <c r="L8" i="2"/>
  <c r="L9" i="2"/>
  <c r="L10" i="2"/>
  <c r="L11" i="2"/>
  <c r="L12" i="2"/>
  <c r="C12" i="2"/>
  <c r="D12" i="2"/>
  <c r="E12" i="2"/>
  <c r="F12" i="2"/>
  <c r="G12" i="2"/>
  <c r="H12" i="2"/>
  <c r="I12" i="2"/>
  <c r="J12" i="2"/>
  <c r="K12" i="2"/>
  <c r="B12" i="2"/>
  <c r="C2" i="2"/>
  <c r="D2" i="2"/>
  <c r="E2" i="2"/>
  <c r="F2" i="2"/>
  <c r="G2" i="2"/>
  <c r="H2" i="2"/>
  <c r="I2" i="2"/>
  <c r="J2" i="2"/>
  <c r="K2" i="2"/>
  <c r="L2" i="2"/>
  <c r="C3" i="2"/>
  <c r="D3" i="2"/>
  <c r="E3" i="2"/>
  <c r="F3" i="2"/>
  <c r="G3" i="2"/>
  <c r="H3" i="2"/>
  <c r="I3" i="2"/>
  <c r="J3" i="2"/>
  <c r="K3" i="2"/>
  <c r="C4" i="2"/>
  <c r="D4" i="2"/>
  <c r="E4" i="2"/>
  <c r="F4" i="2"/>
  <c r="G4" i="2"/>
  <c r="H4" i="2"/>
  <c r="I4" i="2"/>
  <c r="J4" i="2"/>
  <c r="K4" i="2"/>
  <c r="C5" i="2"/>
  <c r="D5" i="2"/>
  <c r="E5" i="2"/>
  <c r="F5" i="2"/>
  <c r="G5" i="2"/>
  <c r="H5" i="2"/>
  <c r="I5" i="2"/>
  <c r="J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9" i="2"/>
  <c r="D9" i="2"/>
  <c r="E9" i="2"/>
  <c r="F9" i="2"/>
  <c r="G9" i="2"/>
  <c r="H9" i="2"/>
  <c r="I9" i="2"/>
  <c r="J9" i="2"/>
  <c r="K9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B3" i="2"/>
  <c r="B4" i="2"/>
  <c r="B5" i="2"/>
  <c r="B6" i="2"/>
  <c r="N6" i="2" s="1"/>
  <c r="B7" i="2"/>
  <c r="B8" i="2"/>
  <c r="B9" i="2"/>
  <c r="B10" i="2"/>
  <c r="B11" i="2"/>
  <c r="B2" i="2"/>
  <c r="N4" i="2" l="1"/>
  <c r="N11" i="2"/>
  <c r="N9" i="2"/>
  <c r="N8" i="2"/>
  <c r="C8" i="3" s="1"/>
  <c r="N5" i="2"/>
  <c r="F5" i="3" s="1"/>
  <c r="N2" i="2"/>
  <c r="G5" i="3"/>
  <c r="F8" i="3"/>
  <c r="G8" i="3"/>
  <c r="F2" i="3"/>
  <c r="E2" i="3"/>
  <c r="C2" i="3"/>
  <c r="B2" i="3"/>
  <c r="G2" i="3"/>
  <c r="D2" i="3"/>
  <c r="E5" i="3"/>
  <c r="B6" i="3"/>
  <c r="C6" i="3"/>
  <c r="D6" i="3"/>
  <c r="E6" i="3"/>
  <c r="F6" i="3"/>
  <c r="G6" i="3"/>
  <c r="D5" i="3"/>
  <c r="C4" i="3"/>
  <c r="D4" i="3"/>
  <c r="E4" i="3"/>
  <c r="G4" i="3"/>
  <c r="D9" i="3"/>
  <c r="F9" i="3"/>
  <c r="C9" i="3"/>
  <c r="E9" i="3"/>
  <c r="G9" i="3"/>
  <c r="C5" i="3"/>
  <c r="F4" i="3"/>
  <c r="B9" i="3"/>
  <c r="B8" i="3"/>
  <c r="B5" i="3"/>
  <c r="B4" i="3"/>
  <c r="N7" i="2"/>
  <c r="D7" i="3" s="1"/>
  <c r="N3" i="2"/>
  <c r="N10" i="2"/>
  <c r="D8" i="3" l="1"/>
  <c r="E8" i="3"/>
  <c r="F3" i="3"/>
  <c r="G3" i="3"/>
  <c r="C3" i="3"/>
  <c r="E3" i="3"/>
  <c r="F7" i="3"/>
  <c r="C7" i="3"/>
  <c r="G7" i="3"/>
  <c r="E7" i="3"/>
  <c r="D3" i="3"/>
  <c r="B7" i="3"/>
  <c r="B3" i="3"/>
</calcChain>
</file>

<file path=xl/sharedStrings.xml><?xml version="1.0" encoding="utf-8"?>
<sst xmlns="http://schemas.openxmlformats.org/spreadsheetml/2006/main" count="686" uniqueCount="81">
  <si>
    <t>Graphite/Carbon</t>
  </si>
  <si>
    <t>Silicon</t>
  </si>
  <si>
    <t>Binder</t>
  </si>
  <si>
    <t>Copper</t>
  </si>
  <si>
    <t>Steel</t>
  </si>
  <si>
    <t>Rubber</t>
  </si>
  <si>
    <t>Active Material</t>
    <phoneticPr fontId="1" type="noConversion"/>
  </si>
  <si>
    <t>Cast Aluminum</t>
    <phoneticPr fontId="1" type="noConversion"/>
  </si>
  <si>
    <t>Electrolyte: LiPF6</t>
    <phoneticPr fontId="1" type="noConversion"/>
  </si>
  <si>
    <t>Plastic: Polypropylene</t>
    <phoneticPr fontId="1" type="noConversion"/>
  </si>
  <si>
    <t>Plastic: Polyethylene</t>
    <phoneticPr fontId="1" type="noConversion"/>
  </si>
  <si>
    <t>Plastic: Polymer</t>
    <phoneticPr fontId="1" type="noConversion"/>
  </si>
  <si>
    <t>Stainless Steel</t>
    <phoneticPr fontId="1" type="noConversion"/>
  </si>
  <si>
    <t>Thermal Insulation</t>
    <phoneticPr fontId="1" type="noConversion"/>
  </si>
  <si>
    <t>Coolant: Glycol</t>
    <phoneticPr fontId="1" type="noConversion"/>
  </si>
  <si>
    <t>Electronic Parts</t>
    <phoneticPr fontId="1" type="noConversion"/>
  </si>
  <si>
    <t>LMO</t>
    <phoneticPr fontId="1" type="noConversion"/>
  </si>
  <si>
    <t>NMC111</t>
  </si>
  <si>
    <t>NMC111</t>
    <phoneticPr fontId="1" type="noConversion"/>
  </si>
  <si>
    <t>LFP</t>
  </si>
  <si>
    <t>LFP</t>
    <phoneticPr fontId="1" type="noConversion"/>
  </si>
  <si>
    <t>NMC622</t>
  </si>
  <si>
    <t>NMC622</t>
    <phoneticPr fontId="1" type="noConversion"/>
  </si>
  <si>
    <t>NMC811</t>
  </si>
  <si>
    <t>NMC811</t>
    <phoneticPr fontId="1" type="noConversion"/>
  </si>
  <si>
    <t>NCA</t>
  </si>
  <si>
    <t>NCA</t>
    <phoneticPr fontId="1" type="noConversion"/>
  </si>
  <si>
    <t>NMC532</t>
  </si>
  <si>
    <t>NMC532</t>
    <phoneticPr fontId="1" type="noConversion"/>
  </si>
  <si>
    <t>NMC955</t>
    <phoneticPr fontId="1" type="noConversion"/>
  </si>
  <si>
    <t>Energy Density(Wh/kg)</t>
    <phoneticPr fontId="1" type="noConversion"/>
  </si>
  <si>
    <t>Car PHEV(35 miles)</t>
    <phoneticPr fontId="1" type="noConversion"/>
  </si>
  <si>
    <t>Car PHEV(50 miles)</t>
    <phoneticPr fontId="1" type="noConversion"/>
  </si>
  <si>
    <t>Car EV(150 miles)</t>
    <phoneticPr fontId="1" type="noConversion"/>
  </si>
  <si>
    <t>Car EV(200 miles)</t>
    <phoneticPr fontId="1" type="noConversion"/>
  </si>
  <si>
    <t>Car EV(300 miles)</t>
    <phoneticPr fontId="1" type="noConversion"/>
  </si>
  <si>
    <t>Car EV(400 miles)</t>
    <phoneticPr fontId="1" type="noConversion"/>
  </si>
  <si>
    <t>SUV PHEV(35 miles)</t>
  </si>
  <si>
    <t>SUV PHEV(50 miles)</t>
  </si>
  <si>
    <t>SUV EV(150 miles)</t>
  </si>
  <si>
    <t>SUV EV(200 miles)</t>
  </si>
  <si>
    <t>SUV EV(300 miles)</t>
  </si>
  <si>
    <t>SUV EV(400 miles)</t>
    <phoneticPr fontId="1" type="noConversion"/>
  </si>
  <si>
    <t>Electrolyte: Ethylene Carbonate</t>
    <phoneticPr fontId="1" type="noConversion"/>
  </si>
  <si>
    <t>Electrolyte: Dimethyl Carbonate</t>
    <phoneticPr fontId="1" type="noConversion"/>
  </si>
  <si>
    <t>Plastic: Polyethylene Terephthalate</t>
    <phoneticPr fontId="1" type="noConversion"/>
  </si>
  <si>
    <t>PUT PHEV(50 miles)</t>
    <phoneticPr fontId="1" type="noConversion"/>
  </si>
  <si>
    <t>PUT EV(150 miles)</t>
    <phoneticPr fontId="1" type="noConversion"/>
  </si>
  <si>
    <t>PUT EV(200 miles)</t>
    <phoneticPr fontId="1" type="noConversion"/>
  </si>
  <si>
    <t>PUT EV(300 miles)</t>
    <phoneticPr fontId="1" type="noConversion"/>
  </si>
  <si>
    <t>PUT EV(400 miles)</t>
    <phoneticPr fontId="1" type="noConversion"/>
  </si>
  <si>
    <t>PUT PHEV(35 miles)</t>
    <phoneticPr fontId="1" type="noConversion"/>
  </si>
  <si>
    <t>Aluminum Sheet (Automotive)</t>
  </si>
  <si>
    <t>Class 6 PnD Trucks</t>
    <phoneticPr fontId="1" type="noConversion"/>
  </si>
  <si>
    <t>Class 8 Day-cab Trucks</t>
    <phoneticPr fontId="1" type="noConversion"/>
  </si>
  <si>
    <t>Class 8 Sleep-cab Trucks</t>
    <phoneticPr fontId="1" type="noConversion"/>
  </si>
  <si>
    <t>Li</t>
    <phoneticPr fontId="1" type="noConversion"/>
  </si>
  <si>
    <t>Ni</t>
    <phoneticPr fontId="1" type="noConversion"/>
  </si>
  <si>
    <t>Co</t>
    <phoneticPr fontId="1" type="noConversion"/>
  </si>
  <si>
    <t>Mn</t>
    <phoneticPr fontId="1" type="noConversion"/>
  </si>
  <si>
    <t>Fe</t>
    <phoneticPr fontId="1" type="noConversion"/>
  </si>
  <si>
    <t>Al</t>
    <phoneticPr fontId="1" type="noConversion"/>
  </si>
  <si>
    <t>Cu</t>
    <phoneticPr fontId="1" type="noConversion"/>
  </si>
  <si>
    <t>Li</t>
  </si>
  <si>
    <t>Ni</t>
  </si>
  <si>
    <t>Co</t>
  </si>
  <si>
    <t>Mn</t>
  </si>
  <si>
    <t>H</t>
    <phoneticPr fontId="1" type="noConversion"/>
  </si>
  <si>
    <t>C</t>
    <phoneticPr fontId="1" type="noConversion"/>
  </si>
  <si>
    <t>O</t>
  </si>
  <si>
    <t>F</t>
  </si>
  <si>
    <t>P</t>
  </si>
  <si>
    <t>Fe</t>
  </si>
  <si>
    <t>Total</t>
  </si>
  <si>
    <t>LiPF6</t>
  </si>
  <si>
    <t>PVDF</t>
    <phoneticPr fontId="1" type="noConversion"/>
  </si>
  <si>
    <t>LTO</t>
    <phoneticPr fontId="1" type="noConversion"/>
  </si>
  <si>
    <t>Ti</t>
    <phoneticPr fontId="1" type="noConversion"/>
  </si>
  <si>
    <t>Graphite</t>
    <phoneticPr fontId="1" type="noConversion"/>
  </si>
  <si>
    <t>Steel</t>
    <phoneticPr fontId="1" type="noConversion"/>
  </si>
  <si>
    <t>Plastic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</si>
</sst>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0.0%"/>
    <numFmt numFmtId="177" formatCode="#,##0.0"/>
    <numFmt numFmtId="178" formatCode="0.00_);[Red]\(0.00\)"/>
    <numFmt numFmtId="179" formatCode="0_);[Red]\(0\)"/>
    <numFmt numFmtId="180" formatCode="0.000_);[Red]\(0.000\)"/>
    <numFmt numFmtId="181" formatCode="0.0_);[Red]\(0.0\)"/>
  </numFmts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horizontal="left" vertical="center"/>
    </xf>
    <xf numFmtId="0" fontId="4" fillId="0" borderId="0" xfId="0" applyFont="1"/>
    <xf numFmtId="176" fontId="0" fillId="0" borderId="0" xfId="0" applyNumberFormat="1"/>
    <xf numFmtId="0" fontId="2" fillId="0" borderId="0" xfId="0" applyFont="1" applyFill="1" applyBorder="1" applyAlignment="1">
      <alignment horizontal="left" vertical="center"/>
    </xf>
    <xf numFmtId="177" fontId="0" fillId="0" borderId="0" xfId="0" applyNumberFormat="1"/>
    <xf numFmtId="177" fontId="2" fillId="0" borderId="0" xfId="0" applyNumberFormat="1" applyFont="1"/>
    <xf numFmtId="178" fontId="2" fillId="0" borderId="0" xfId="0" applyNumberFormat="1" applyFont="1"/>
    <xf numFmtId="178" fontId="0" fillId="0" borderId="0" xfId="0" applyNumberFormat="1"/>
    <xf numFmtId="179" fontId="2" fillId="0" borderId="0" xfId="0" applyNumberFormat="1" applyFont="1"/>
    <xf numFmtId="180" fontId="3" fillId="0" borderId="0" xfId="0" applyNumberFormat="1" applyFont="1"/>
    <xf numFmtId="179" fontId="0" fillId="0" borderId="0" xfId="0" applyNumberFormat="1"/>
    <xf numFmtId="180" fontId="0" fillId="0" borderId="0" xfId="0" applyNumberFormat="1"/>
    <xf numFmtId="181" fontId="0" fillId="0" borderId="0" xfId="0" applyNumberFormat="1"/>
    <xf numFmtId="0" fontId="2" fillId="2" borderId="0" xfId="0" applyFont="1" applyFill="1"/>
    <xf numFmtId="176" fontId="5" fillId="0" borderId="0" xfId="0" applyNumberFormat="1" applyFont="1"/>
    <xf numFmtId="0" fontId="4" fillId="2" borderId="0" xfId="0" applyFont="1" applyFill="1"/>
    <xf numFmtId="180" fontId="6" fillId="0" borderId="0" xfId="0" applyNumberFormat="1" applyFont="1"/>
    <xf numFmtId="0" fontId="2" fillId="2" borderId="1" xfId="0" applyFont="1" applyFill="1" applyBorder="1" applyAlignment="1">
      <alignment horizontal="left" vertical="center"/>
    </xf>
    <xf numFmtId="176" fontId="0" fillId="2" borderId="0" xfId="0" applyNumberFormat="1" applyFill="1"/>
    <xf numFmtId="0" fontId="2" fillId="2" borderId="0" xfId="0" applyFont="1" applyFill="1" applyBorder="1" applyAlignment="1">
      <alignment horizontal="left" vertical="center"/>
    </xf>
    <xf numFmtId="177" fontId="0" fillId="2" borderId="0" xfId="0" applyNumberFormat="1" applyFill="1"/>
    <xf numFmtId="176" fontId="0" fillId="0" borderId="0" xfId="0" applyNumberFormat="1" applyFont="1"/>
    <xf numFmtId="10" fontId="0" fillId="0" borderId="0" xfId="0" applyNumberFormat="1" applyFont="1"/>
    <xf numFmtId="177" fontId="0" fillId="0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2"/>
  <sheetViews>
    <sheetView tabSelected="1" topLeftCell="A70" workbookViewId="0">
      <selection activeCell="K83" sqref="K83"/>
    </sheetView>
  </sheetViews>
  <sheetFormatPr defaultRowHeight="14.25" x14ac:dyDescent="0.2"/>
  <cols>
    <col min="1" max="1" width="30.5" bestFit="1" customWidth="1"/>
    <col min="12" max="12" width="6.875" bestFit="1" customWidth="1"/>
  </cols>
  <sheetData>
    <row r="1" spans="1:10" x14ac:dyDescent="0.2">
      <c r="A1" s="4" t="s">
        <v>31</v>
      </c>
      <c r="B1" s="1" t="s">
        <v>20</v>
      </c>
      <c r="C1" s="1" t="s">
        <v>16</v>
      </c>
      <c r="D1" s="1" t="s">
        <v>18</v>
      </c>
      <c r="E1" s="1" t="s">
        <v>28</v>
      </c>
      <c r="F1" s="1" t="s">
        <v>22</v>
      </c>
      <c r="G1" s="1" t="s">
        <v>24</v>
      </c>
      <c r="H1" s="1" t="s">
        <v>29</v>
      </c>
      <c r="I1" s="1" t="s">
        <v>26</v>
      </c>
      <c r="J1" s="4"/>
    </row>
    <row r="2" spans="1:10" x14ac:dyDescent="0.2">
      <c r="A2" s="2" t="s">
        <v>6</v>
      </c>
      <c r="B2" s="5">
        <v>0.254</v>
      </c>
      <c r="C2" s="5">
        <v>0.29060000000000002</v>
      </c>
      <c r="D2" s="5">
        <v>0.2487</v>
      </c>
      <c r="E2" s="5">
        <v>0.23530000000000001</v>
      </c>
      <c r="F2" s="5">
        <v>0.23230000000000001</v>
      </c>
      <c r="G2" s="5">
        <v>0.22570000000000001</v>
      </c>
      <c r="H2" s="5">
        <v>0.21429999999999999</v>
      </c>
      <c r="I2" s="5">
        <v>0.2238</v>
      </c>
    </row>
    <row r="3" spans="1:10" x14ac:dyDescent="0.2">
      <c r="A3" s="2" t="s">
        <v>0</v>
      </c>
      <c r="B3" s="5">
        <v>0.1305</v>
      </c>
      <c r="C3" s="5">
        <v>0.1147</v>
      </c>
      <c r="D3" s="5">
        <v>0.14000000000000001</v>
      </c>
      <c r="E3" s="5">
        <v>0.14430000000000001</v>
      </c>
      <c r="F3" s="5">
        <v>0.1452</v>
      </c>
      <c r="G3" s="5">
        <v>0.15740000000000001</v>
      </c>
      <c r="H3" s="5">
        <v>0.1608</v>
      </c>
      <c r="I3" s="5">
        <v>0.1479</v>
      </c>
    </row>
    <row r="4" spans="1:10" x14ac:dyDescent="0.2">
      <c r="A4" s="2" t="s">
        <v>1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10" x14ac:dyDescent="0.2">
      <c r="A5" s="2" t="s">
        <v>2</v>
      </c>
      <c r="B5" s="5">
        <v>7.7999999999999996E-3</v>
      </c>
      <c r="C5" s="5">
        <v>8.3000000000000001E-3</v>
      </c>
      <c r="D5" s="5">
        <v>7.9000000000000008E-3</v>
      </c>
      <c r="E5" s="5">
        <v>7.7000000000000002E-3</v>
      </c>
      <c r="F5" s="5">
        <v>7.7000000000000002E-3</v>
      </c>
      <c r="G5" s="5">
        <v>7.7999999999999996E-3</v>
      </c>
      <c r="H5" s="5">
        <v>7.7000000000000002E-3</v>
      </c>
      <c r="I5" s="5">
        <v>7.6E-3</v>
      </c>
    </row>
    <row r="6" spans="1:10" x14ac:dyDescent="0.2">
      <c r="A6" s="2" t="s">
        <v>3</v>
      </c>
      <c r="B6" s="5">
        <v>8.72E-2</v>
      </c>
      <c r="C6" s="5">
        <v>0.08</v>
      </c>
      <c r="D6" s="5">
        <v>7.6999999999999999E-2</v>
      </c>
      <c r="E6" s="5">
        <v>7.8899999999999998E-2</v>
      </c>
      <c r="F6" s="5">
        <v>7.9699999999999993E-2</v>
      </c>
      <c r="G6" s="5">
        <v>8.5500000000000007E-2</v>
      </c>
      <c r="H6" s="5">
        <v>8.7099999999999997E-2</v>
      </c>
      <c r="I6" s="5">
        <v>8.1799999999999998E-2</v>
      </c>
    </row>
    <row r="7" spans="1:10" x14ac:dyDescent="0.2">
      <c r="A7" s="3" t="s">
        <v>52</v>
      </c>
      <c r="B7" s="5">
        <v>0.1211</v>
      </c>
      <c r="C7" s="5">
        <v>0.1166</v>
      </c>
      <c r="D7" s="5">
        <v>0.11700000000000001</v>
      </c>
      <c r="E7" s="5">
        <v>0.1186</v>
      </c>
      <c r="F7" s="5">
        <v>0.1191</v>
      </c>
      <c r="G7" s="5">
        <v>0.1265</v>
      </c>
      <c r="H7" s="5">
        <v>0.128</v>
      </c>
      <c r="I7" s="5">
        <v>0.1201</v>
      </c>
    </row>
    <row r="8" spans="1:10" x14ac:dyDescent="0.2">
      <c r="A8" s="2" t="s">
        <v>7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10" x14ac:dyDescent="0.2">
      <c r="A9" s="2" t="s">
        <v>8</v>
      </c>
      <c r="B9" s="5">
        <v>1.0699999999999999E-2</v>
      </c>
      <c r="C9" s="5">
        <v>9.7999999999999997E-3</v>
      </c>
      <c r="D9" s="5">
        <v>9.2999999999999992E-3</v>
      </c>
      <c r="E9" s="5">
        <v>9.2999999999999992E-3</v>
      </c>
      <c r="F9" s="5">
        <v>9.2999999999999992E-3</v>
      </c>
      <c r="G9" s="5">
        <v>9.7000000000000003E-3</v>
      </c>
      <c r="H9" s="5">
        <v>9.5999999999999992E-3</v>
      </c>
      <c r="I9" s="5">
        <v>9.1999999999999998E-3</v>
      </c>
    </row>
    <row r="10" spans="1:10" x14ac:dyDescent="0.2">
      <c r="A10" s="2" t="s">
        <v>43</v>
      </c>
      <c r="B10" s="5">
        <v>2.98E-2</v>
      </c>
      <c r="C10" s="5">
        <v>2.7400000000000001E-2</v>
      </c>
      <c r="D10" s="5">
        <v>2.5999999999999999E-2</v>
      </c>
      <c r="E10" s="5">
        <v>2.5899999999999999E-2</v>
      </c>
      <c r="F10" s="5">
        <v>2.5999999999999999E-2</v>
      </c>
      <c r="G10" s="5">
        <v>2.7E-2</v>
      </c>
      <c r="H10" s="5">
        <v>2.6800000000000001E-2</v>
      </c>
      <c r="I10" s="5">
        <v>2.5700000000000001E-2</v>
      </c>
    </row>
    <row r="11" spans="1:10" x14ac:dyDescent="0.2">
      <c r="A11" s="2" t="s">
        <v>44</v>
      </c>
      <c r="B11" s="5">
        <v>2.98E-2</v>
      </c>
      <c r="C11" s="5">
        <v>2.7400000000000001E-2</v>
      </c>
      <c r="D11" s="5">
        <v>2.5999999999999999E-2</v>
      </c>
      <c r="E11" s="5">
        <v>2.5899999999999999E-2</v>
      </c>
      <c r="F11" s="5">
        <v>2.5999999999999999E-2</v>
      </c>
      <c r="G11" s="5">
        <v>2.7E-2</v>
      </c>
      <c r="H11" s="5">
        <v>2.6800000000000001E-2</v>
      </c>
      <c r="I11" s="5">
        <v>2.5700000000000001E-2</v>
      </c>
    </row>
    <row r="12" spans="1:10" x14ac:dyDescent="0.2">
      <c r="A12" s="2" t="s">
        <v>9</v>
      </c>
      <c r="B12" s="5">
        <v>1.6299999999999999E-2</v>
      </c>
      <c r="C12" s="5">
        <v>1.5699999999999999E-2</v>
      </c>
      <c r="D12" s="5">
        <v>1.4999999999999999E-2</v>
      </c>
      <c r="E12" s="5">
        <v>1.52E-2</v>
      </c>
      <c r="F12" s="5">
        <v>1.5299999999999999E-2</v>
      </c>
      <c r="G12" s="5">
        <v>1.6299999999999999E-2</v>
      </c>
      <c r="H12" s="5">
        <v>1.6500000000000001E-2</v>
      </c>
      <c r="I12" s="5">
        <v>1.55E-2</v>
      </c>
    </row>
    <row r="13" spans="1:10" x14ac:dyDescent="0.2">
      <c r="A13" s="2" t="s">
        <v>10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</row>
    <row r="14" spans="1:10" x14ac:dyDescent="0.2">
      <c r="A14" s="2" t="s">
        <v>11</v>
      </c>
      <c r="B14" s="5">
        <v>2.9999999999999997E-4</v>
      </c>
      <c r="C14" s="5">
        <v>2.9999999999999997E-4</v>
      </c>
      <c r="D14" s="5">
        <v>2.9999999999999997E-4</v>
      </c>
      <c r="E14" s="5">
        <v>2.9999999999999997E-4</v>
      </c>
      <c r="F14" s="5">
        <v>2.9999999999999997E-4</v>
      </c>
      <c r="G14" s="5">
        <v>2.9999999999999997E-4</v>
      </c>
      <c r="H14" s="5">
        <v>2.9999999999999997E-4</v>
      </c>
      <c r="I14" s="5">
        <v>2.9999999999999997E-4</v>
      </c>
    </row>
    <row r="15" spans="1:10" x14ac:dyDescent="0.2">
      <c r="A15" s="2" t="s">
        <v>45</v>
      </c>
      <c r="B15" s="5">
        <v>2.8E-3</v>
      </c>
      <c r="C15" s="5">
        <v>2.5999999999999999E-3</v>
      </c>
      <c r="D15" s="5">
        <v>2.5999999999999999E-3</v>
      </c>
      <c r="E15" s="5">
        <v>2.5999999999999999E-3</v>
      </c>
      <c r="F15" s="5">
        <v>2.5999999999999999E-3</v>
      </c>
      <c r="G15" s="5">
        <v>2.8E-3</v>
      </c>
      <c r="H15" s="5">
        <v>2.8E-3</v>
      </c>
      <c r="I15" s="5">
        <v>2.5999999999999999E-3</v>
      </c>
    </row>
    <row r="16" spans="1:10" x14ac:dyDescent="0.2">
      <c r="A16" s="2" t="s">
        <v>4</v>
      </c>
      <c r="B16" s="5">
        <v>0.17299999999999999</v>
      </c>
      <c r="C16" s="5">
        <v>0.1706</v>
      </c>
      <c r="D16" s="5">
        <v>0.182</v>
      </c>
      <c r="E16" s="5">
        <v>0.18490000000000001</v>
      </c>
      <c r="F16" s="5">
        <v>0.185</v>
      </c>
      <c r="G16" s="5">
        <v>0.1515</v>
      </c>
      <c r="H16" s="5">
        <v>0.15359999999999999</v>
      </c>
      <c r="I16" s="5">
        <v>0.1867</v>
      </c>
    </row>
    <row r="17" spans="1:9" x14ac:dyDescent="0.2">
      <c r="A17" s="2" t="s">
        <v>12</v>
      </c>
      <c r="B17" s="5">
        <v>6.1499999999999999E-2</v>
      </c>
      <c r="C17" s="5">
        <v>6.0400000000000002E-2</v>
      </c>
      <c r="D17" s="5">
        <v>6.3600000000000004E-2</v>
      </c>
      <c r="E17" s="5">
        <v>6.4500000000000002E-2</v>
      </c>
      <c r="F17" s="5">
        <v>6.4399999999999999E-2</v>
      </c>
      <c r="G17" s="5">
        <v>6.8599999999999994E-2</v>
      </c>
      <c r="H17" s="5">
        <v>6.9599999999999995E-2</v>
      </c>
      <c r="I17" s="5">
        <v>6.4899999999999999E-2</v>
      </c>
    </row>
    <row r="18" spans="1:9" x14ac:dyDescent="0.2">
      <c r="A18" s="2" t="s">
        <v>5</v>
      </c>
      <c r="B18" s="5">
        <v>6.9999999999999999E-4</v>
      </c>
      <c r="C18" s="5">
        <v>5.9999999999999995E-4</v>
      </c>
      <c r="D18" s="5">
        <v>6.9999999999999999E-4</v>
      </c>
      <c r="E18" s="5">
        <v>6.9999999999999999E-4</v>
      </c>
      <c r="F18" s="5">
        <v>6.9999999999999999E-4</v>
      </c>
      <c r="G18" s="5">
        <v>8.0000000000000004E-4</v>
      </c>
      <c r="H18" s="5">
        <v>8.0000000000000004E-4</v>
      </c>
      <c r="I18" s="5">
        <v>6.9999999999999999E-4</v>
      </c>
    </row>
    <row r="19" spans="1:9" x14ac:dyDescent="0.2">
      <c r="A19" s="2" t="s">
        <v>13</v>
      </c>
      <c r="B19" s="5">
        <v>3.5999999999999999E-3</v>
      </c>
      <c r="C19" s="5">
        <v>3.5000000000000001E-3</v>
      </c>
      <c r="D19" s="5">
        <v>3.8E-3</v>
      </c>
      <c r="E19" s="5">
        <v>3.8E-3</v>
      </c>
      <c r="F19" s="5">
        <v>3.8E-3</v>
      </c>
      <c r="G19" s="5">
        <v>4.1000000000000003E-3</v>
      </c>
      <c r="H19" s="5">
        <v>4.1999999999999997E-3</v>
      </c>
      <c r="I19" s="5">
        <v>3.8999999999999998E-3</v>
      </c>
    </row>
    <row r="20" spans="1:9" x14ac:dyDescent="0.2">
      <c r="A20" s="2" t="s">
        <v>14</v>
      </c>
      <c r="B20" s="5">
        <v>2.8299999999999999E-2</v>
      </c>
      <c r="C20" s="5">
        <v>2.7699999999999999E-2</v>
      </c>
      <c r="D20" s="5">
        <v>2.9399999999999999E-2</v>
      </c>
      <c r="E20" s="5">
        <v>2.98E-2</v>
      </c>
      <c r="F20" s="5">
        <v>2.9899999999999999E-2</v>
      </c>
      <c r="G20" s="5">
        <v>3.1899999999999998E-2</v>
      </c>
      <c r="H20" s="5">
        <v>3.2300000000000002E-2</v>
      </c>
      <c r="I20" s="5">
        <v>3.0099999999999998E-2</v>
      </c>
    </row>
    <row r="21" spans="1:9" x14ac:dyDescent="0.2">
      <c r="A21" s="3" t="s">
        <v>15</v>
      </c>
      <c r="B21" s="5">
        <v>4.2599999999999701E-2</v>
      </c>
      <c r="C21" s="5">
        <v>4.3800000000000103E-2</v>
      </c>
      <c r="D21" s="5">
        <v>5.0699999999999898E-2</v>
      </c>
      <c r="E21" s="5">
        <v>5.2299999999999701E-2</v>
      </c>
      <c r="F21" s="5">
        <v>5.26999999999999E-2</v>
      </c>
      <c r="G21" s="5">
        <v>5.7099999999999901E-2</v>
      </c>
      <c r="H21" s="5">
        <v>5.8799999999999998E-2</v>
      </c>
      <c r="I21" s="5">
        <v>5.3499999999999902E-2</v>
      </c>
    </row>
    <row r="22" spans="1:9" x14ac:dyDescent="0.2">
      <c r="A22" s="6" t="s">
        <v>30</v>
      </c>
      <c r="B22" s="7">
        <v>131.47999999999999</v>
      </c>
      <c r="C22" s="7">
        <v>135.63</v>
      </c>
      <c r="D22" s="7">
        <v>156.99</v>
      </c>
      <c r="E22" s="7">
        <v>161.81</v>
      </c>
      <c r="F22" s="7">
        <v>163.05000000000001</v>
      </c>
      <c r="G22" s="7">
        <v>177.59</v>
      </c>
      <c r="H22" s="7">
        <v>182.59</v>
      </c>
      <c r="I22" s="7">
        <v>165.9</v>
      </c>
    </row>
    <row r="26" spans="1:9" x14ac:dyDescent="0.2">
      <c r="A26" s="4" t="s">
        <v>32</v>
      </c>
      <c r="B26" s="1" t="s">
        <v>20</v>
      </c>
      <c r="C26" s="1" t="s">
        <v>16</v>
      </c>
      <c r="D26" s="1" t="s">
        <v>18</v>
      </c>
      <c r="E26" s="1" t="s">
        <v>28</v>
      </c>
      <c r="F26" s="1" t="s">
        <v>22</v>
      </c>
      <c r="G26" s="1" t="s">
        <v>24</v>
      </c>
      <c r="H26" s="1" t="s">
        <v>29</v>
      </c>
      <c r="I26" s="1" t="s">
        <v>26</v>
      </c>
    </row>
    <row r="27" spans="1:9" x14ac:dyDescent="0.2">
      <c r="A27" s="2" t="s">
        <v>6</v>
      </c>
      <c r="B27" s="5">
        <v>0.27339999999999998</v>
      </c>
      <c r="C27" s="5">
        <v>0.31119999999999998</v>
      </c>
      <c r="D27" s="5">
        <v>0.27150000000000002</v>
      </c>
      <c r="E27" s="5">
        <v>0.2591</v>
      </c>
      <c r="F27" s="5">
        <v>0.25600000000000001</v>
      </c>
      <c r="G27" s="5">
        <v>0.2407</v>
      </c>
      <c r="H27" s="5">
        <v>0.2301</v>
      </c>
      <c r="I27" s="5">
        <v>0.25009999999999999</v>
      </c>
    </row>
    <row r="28" spans="1:9" x14ac:dyDescent="0.2">
      <c r="A28" s="2" t="s">
        <v>0</v>
      </c>
      <c r="B28" s="5">
        <v>0.14030000000000001</v>
      </c>
      <c r="C28" s="5">
        <v>0.1226</v>
      </c>
      <c r="D28" s="5">
        <v>0.1525</v>
      </c>
      <c r="E28" s="5">
        <v>0.15859999999999999</v>
      </c>
      <c r="F28" s="5">
        <v>0.1598</v>
      </c>
      <c r="G28" s="5">
        <v>0.1676</v>
      </c>
      <c r="H28" s="5">
        <v>0.1724</v>
      </c>
      <c r="I28" s="5">
        <v>0.16500000000000001</v>
      </c>
    </row>
    <row r="29" spans="1:9" x14ac:dyDescent="0.2">
      <c r="A29" s="2" t="s">
        <v>1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</row>
    <row r="30" spans="1:9" x14ac:dyDescent="0.2">
      <c r="A30" s="2" t="s">
        <v>2</v>
      </c>
      <c r="B30" s="5">
        <v>8.3999999999999995E-3</v>
      </c>
      <c r="C30" s="5">
        <v>8.8999999999999999E-3</v>
      </c>
      <c r="D30" s="5">
        <v>8.6999999999999994E-3</v>
      </c>
      <c r="E30" s="5">
        <v>8.5000000000000006E-3</v>
      </c>
      <c r="F30" s="5">
        <v>8.5000000000000006E-3</v>
      </c>
      <c r="G30" s="5">
        <v>8.3000000000000001E-3</v>
      </c>
      <c r="H30" s="5">
        <v>8.2000000000000007E-3</v>
      </c>
      <c r="I30" s="5">
        <v>8.5000000000000006E-3</v>
      </c>
    </row>
    <row r="31" spans="1:9" x14ac:dyDescent="0.2">
      <c r="A31" s="2" t="s">
        <v>3</v>
      </c>
      <c r="B31" s="5">
        <v>8.3799999999999999E-2</v>
      </c>
      <c r="C31" s="5">
        <v>7.9500000000000001E-2</v>
      </c>
      <c r="D31" s="5">
        <v>7.0300000000000001E-2</v>
      </c>
      <c r="E31" s="5">
        <v>6.9400000000000003E-2</v>
      </c>
      <c r="F31" s="5">
        <v>6.9199999999999998E-2</v>
      </c>
      <c r="G31" s="5">
        <v>6.7900000000000002E-2</v>
      </c>
      <c r="H31" s="5">
        <v>6.7100000000000007E-2</v>
      </c>
      <c r="I31" s="5">
        <v>6.7900000000000002E-2</v>
      </c>
    </row>
    <row r="32" spans="1:9" x14ac:dyDescent="0.2">
      <c r="A32" s="3" t="s">
        <v>52</v>
      </c>
      <c r="B32" s="5">
        <v>0.12039999999999999</v>
      </c>
      <c r="C32" s="5">
        <v>0.11550000000000001</v>
      </c>
      <c r="D32" s="5">
        <v>0.11509999999999999</v>
      </c>
      <c r="E32" s="5">
        <v>0.1158</v>
      </c>
      <c r="F32" s="5">
        <v>0.1159</v>
      </c>
      <c r="G32" s="5">
        <v>0.1168</v>
      </c>
      <c r="H32" s="5">
        <v>0.1173</v>
      </c>
      <c r="I32" s="5">
        <v>0.1157</v>
      </c>
    </row>
    <row r="33" spans="1:9" x14ac:dyDescent="0.2">
      <c r="A33" s="2" t="s">
        <v>7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 x14ac:dyDescent="0.2">
      <c r="A34" s="2" t="s">
        <v>8</v>
      </c>
      <c r="B34" s="5">
        <v>1.15E-2</v>
      </c>
      <c r="C34" s="5">
        <v>1.0500000000000001E-2</v>
      </c>
      <c r="D34" s="5">
        <v>1.01E-2</v>
      </c>
      <c r="E34" s="5">
        <v>0.01</v>
      </c>
      <c r="F34" s="5">
        <v>0.01</v>
      </c>
      <c r="G34" s="5">
        <v>9.9000000000000008E-3</v>
      </c>
      <c r="H34" s="5">
        <v>9.9000000000000008E-3</v>
      </c>
      <c r="I34" s="5">
        <v>9.9000000000000008E-3</v>
      </c>
    </row>
    <row r="35" spans="1:9" x14ac:dyDescent="0.2">
      <c r="A35" s="2" t="s">
        <v>43</v>
      </c>
      <c r="B35" s="5">
        <v>3.2099999999999997E-2</v>
      </c>
      <c r="C35" s="5">
        <v>2.93E-2</v>
      </c>
      <c r="D35" s="5">
        <v>2.81E-2</v>
      </c>
      <c r="E35" s="5">
        <v>2.7900000000000001E-2</v>
      </c>
      <c r="F35" s="5">
        <v>2.7900000000000001E-2</v>
      </c>
      <c r="G35" s="5">
        <v>2.7699999999999999E-2</v>
      </c>
      <c r="H35" s="5">
        <v>2.75E-2</v>
      </c>
      <c r="I35" s="5">
        <v>2.76E-2</v>
      </c>
    </row>
    <row r="36" spans="1:9" x14ac:dyDescent="0.2">
      <c r="A36" s="2" t="s">
        <v>44</v>
      </c>
      <c r="B36" s="5">
        <v>3.2099999999999997E-2</v>
      </c>
      <c r="C36" s="5">
        <v>2.93E-2</v>
      </c>
      <c r="D36" s="5">
        <v>2.81E-2</v>
      </c>
      <c r="E36" s="5">
        <v>2.7900000000000001E-2</v>
      </c>
      <c r="F36" s="5">
        <v>2.7900000000000001E-2</v>
      </c>
      <c r="G36" s="5">
        <v>2.7699999999999999E-2</v>
      </c>
      <c r="H36" s="5">
        <v>2.75E-2</v>
      </c>
      <c r="I36" s="5">
        <v>2.76E-2</v>
      </c>
    </row>
    <row r="37" spans="1:9" x14ac:dyDescent="0.2">
      <c r="A37" s="2" t="s">
        <v>9</v>
      </c>
      <c r="B37" s="5">
        <v>1.72E-2</v>
      </c>
      <c r="C37" s="5">
        <v>1.6400000000000001E-2</v>
      </c>
      <c r="D37" s="5">
        <v>1.5299999999999999E-2</v>
      </c>
      <c r="E37" s="5">
        <v>1.5100000000000001E-2</v>
      </c>
      <c r="F37" s="5">
        <v>1.5100000000000001E-2</v>
      </c>
      <c r="G37" s="5">
        <v>1.49E-2</v>
      </c>
      <c r="H37" s="5">
        <v>1.4800000000000001E-2</v>
      </c>
      <c r="I37" s="5">
        <v>1.49E-2</v>
      </c>
    </row>
    <row r="38" spans="1:9" x14ac:dyDescent="0.2">
      <c r="A38" s="2" t="s">
        <v>10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 x14ac:dyDescent="0.2">
      <c r="A39" s="2" t="s">
        <v>11</v>
      </c>
      <c r="B39" s="5">
        <v>2.9999999999999997E-4</v>
      </c>
      <c r="C39" s="5">
        <v>2.0000000000000001E-4</v>
      </c>
      <c r="D39" s="5">
        <v>2.0000000000000001E-4</v>
      </c>
      <c r="E39" s="5">
        <v>2.0000000000000001E-4</v>
      </c>
      <c r="F39" s="5">
        <v>2.0000000000000001E-4</v>
      </c>
      <c r="G39" s="5">
        <v>2.0000000000000001E-4</v>
      </c>
      <c r="H39" s="5">
        <v>2.0000000000000001E-4</v>
      </c>
      <c r="I39" s="5">
        <v>2.0000000000000001E-4</v>
      </c>
    </row>
    <row r="40" spans="1:9" x14ac:dyDescent="0.2">
      <c r="A40" s="2" t="s">
        <v>45</v>
      </c>
      <c r="B40" s="5">
        <v>3.0000000000000001E-3</v>
      </c>
      <c r="C40" s="5">
        <v>2.8E-3</v>
      </c>
      <c r="D40" s="5">
        <v>2.8E-3</v>
      </c>
      <c r="E40" s="5">
        <v>2.8E-3</v>
      </c>
      <c r="F40" s="5">
        <v>2.8E-3</v>
      </c>
      <c r="G40" s="5">
        <v>2.8E-3</v>
      </c>
      <c r="H40" s="5">
        <v>2.8E-3</v>
      </c>
      <c r="I40" s="5">
        <v>2.8E-3</v>
      </c>
    </row>
    <row r="41" spans="1:9" x14ac:dyDescent="0.2">
      <c r="A41" s="2" t="s">
        <v>4</v>
      </c>
      <c r="B41" s="5">
        <v>0.15720000000000001</v>
      </c>
      <c r="C41" s="5">
        <v>0.1545</v>
      </c>
      <c r="D41" s="5">
        <v>0.16650000000000001</v>
      </c>
      <c r="E41" s="5">
        <v>0.1704</v>
      </c>
      <c r="F41" s="5">
        <v>0.17169999999999999</v>
      </c>
      <c r="G41" s="5">
        <v>0.17610000000000001</v>
      </c>
      <c r="H41" s="5">
        <v>0.17960000000000001</v>
      </c>
      <c r="I41" s="5">
        <v>0.1729</v>
      </c>
    </row>
    <row r="42" spans="1:9" x14ac:dyDescent="0.2">
      <c r="A42" s="2" t="s">
        <v>12</v>
      </c>
      <c r="B42" s="5">
        <v>5.8900000000000001E-2</v>
      </c>
      <c r="C42" s="5">
        <v>5.7500000000000002E-2</v>
      </c>
      <c r="D42" s="5">
        <v>6.1100000000000002E-2</v>
      </c>
      <c r="E42" s="5">
        <v>6.2399999999999997E-2</v>
      </c>
      <c r="F42" s="5">
        <v>6.2799999999999995E-2</v>
      </c>
      <c r="G42" s="5">
        <v>6.4100000000000004E-2</v>
      </c>
      <c r="H42" s="5">
        <v>6.5199999999999994E-2</v>
      </c>
      <c r="I42" s="5">
        <v>6.3E-2</v>
      </c>
    </row>
    <row r="43" spans="1:9" x14ac:dyDescent="0.2">
      <c r="A43" s="2" t="s">
        <v>5</v>
      </c>
      <c r="B43" s="5">
        <v>4.0000000000000002E-4</v>
      </c>
      <c r="C43" s="5">
        <v>2.9999999999999997E-4</v>
      </c>
      <c r="D43" s="5">
        <v>4.0000000000000002E-4</v>
      </c>
      <c r="E43" s="5">
        <v>4.0000000000000002E-4</v>
      </c>
      <c r="F43" s="5">
        <v>4.0000000000000002E-4</v>
      </c>
      <c r="G43" s="5">
        <v>5.0000000000000001E-4</v>
      </c>
      <c r="H43" s="5">
        <v>5.0000000000000001E-4</v>
      </c>
      <c r="I43" s="5">
        <v>4.0000000000000002E-4</v>
      </c>
    </row>
    <row r="44" spans="1:9" x14ac:dyDescent="0.2">
      <c r="A44" s="2" t="s">
        <v>13</v>
      </c>
      <c r="B44" s="5">
        <v>3.3999999999999998E-3</v>
      </c>
      <c r="C44" s="5">
        <v>3.3E-3</v>
      </c>
      <c r="D44" s="5">
        <v>3.5999999999999999E-3</v>
      </c>
      <c r="E44" s="5">
        <v>3.7000000000000002E-3</v>
      </c>
      <c r="F44" s="5">
        <v>3.7000000000000002E-3</v>
      </c>
      <c r="G44" s="5">
        <v>3.8E-3</v>
      </c>
      <c r="H44" s="5">
        <v>3.8999999999999998E-3</v>
      </c>
      <c r="I44" s="5">
        <v>3.7000000000000002E-3</v>
      </c>
    </row>
    <row r="45" spans="1:9" x14ac:dyDescent="0.2">
      <c r="A45" s="2" t="s">
        <v>14</v>
      </c>
      <c r="B45" s="5">
        <v>2.5499999999999998E-2</v>
      </c>
      <c r="C45" s="5">
        <v>2.4899999999999999E-2</v>
      </c>
      <c r="D45" s="5">
        <v>2.6700000000000002E-2</v>
      </c>
      <c r="E45" s="5">
        <v>2.7199999999999998E-2</v>
      </c>
      <c r="F45" s="5">
        <v>2.7300000000000001E-2</v>
      </c>
      <c r="G45" s="5">
        <v>2.8000000000000001E-2</v>
      </c>
      <c r="H45" s="5">
        <v>2.8400000000000002E-2</v>
      </c>
      <c r="I45" s="5">
        <v>2.76E-2</v>
      </c>
    </row>
    <row r="46" spans="1:9" x14ac:dyDescent="0.2">
      <c r="A46" s="3" t="s">
        <v>15</v>
      </c>
      <c r="B46" s="5">
        <v>3.2100000000000198E-2</v>
      </c>
      <c r="C46" s="5">
        <v>3.33000000000001E-2</v>
      </c>
      <c r="D46" s="5">
        <v>3.8999999999999903E-2</v>
      </c>
      <c r="E46" s="5">
        <v>4.0599999999999997E-2</v>
      </c>
      <c r="F46" s="5">
        <v>4.08000000000001E-2</v>
      </c>
      <c r="G46" s="5">
        <v>4.2999999999999997E-2</v>
      </c>
      <c r="H46" s="5">
        <v>4.4600000000000098E-2</v>
      </c>
      <c r="I46" s="5">
        <v>4.2200000000000099E-2</v>
      </c>
    </row>
    <row r="47" spans="1:9" x14ac:dyDescent="0.2">
      <c r="A47" s="6" t="s">
        <v>30</v>
      </c>
      <c r="B47" s="7">
        <v>141.49</v>
      </c>
      <c r="C47" s="7">
        <v>145.22999999999999</v>
      </c>
      <c r="D47" s="7">
        <v>171.26</v>
      </c>
      <c r="E47" s="7">
        <v>177.92</v>
      </c>
      <c r="F47" s="7">
        <v>179.36</v>
      </c>
      <c r="G47" s="7">
        <v>188.86</v>
      </c>
      <c r="H47" s="7">
        <v>195.41</v>
      </c>
      <c r="I47" s="7">
        <v>184.95</v>
      </c>
    </row>
    <row r="51" spans="1:9" x14ac:dyDescent="0.2">
      <c r="A51" s="4" t="s">
        <v>33</v>
      </c>
      <c r="B51" s="1" t="s">
        <v>20</v>
      </c>
      <c r="C51" s="1" t="s">
        <v>16</v>
      </c>
      <c r="D51" s="1" t="s">
        <v>18</v>
      </c>
      <c r="E51" s="1" t="s">
        <v>28</v>
      </c>
      <c r="F51" s="1" t="s">
        <v>22</v>
      </c>
      <c r="G51" s="1" t="s">
        <v>24</v>
      </c>
      <c r="H51" s="1" t="s">
        <v>29</v>
      </c>
      <c r="I51" s="1" t="s">
        <v>26</v>
      </c>
    </row>
    <row r="52" spans="1:9" x14ac:dyDescent="0.2">
      <c r="A52" s="2" t="s">
        <v>6</v>
      </c>
      <c r="B52" s="5">
        <v>0.24610000000000001</v>
      </c>
      <c r="C52" s="5">
        <v>0.28029999999999999</v>
      </c>
      <c r="D52" s="5">
        <v>0.24129999999999999</v>
      </c>
      <c r="E52" s="5">
        <v>0.23019999999999999</v>
      </c>
      <c r="F52" s="5">
        <v>0.22700000000000001</v>
      </c>
      <c r="G52" s="5">
        <v>0.21329999999999999</v>
      </c>
      <c r="H52" s="5">
        <v>0.2029</v>
      </c>
      <c r="I52" s="5">
        <v>0.22120000000000001</v>
      </c>
    </row>
    <row r="53" spans="1:9" x14ac:dyDescent="0.2">
      <c r="A53" s="2" t="s">
        <v>0</v>
      </c>
      <c r="B53" s="5">
        <v>0.12759999999999999</v>
      </c>
      <c r="C53" s="5">
        <v>0.11169999999999999</v>
      </c>
      <c r="D53" s="5">
        <v>0.13730000000000001</v>
      </c>
      <c r="E53" s="5">
        <v>0.14269999999999999</v>
      </c>
      <c r="F53" s="5">
        <v>0.14349999999999999</v>
      </c>
      <c r="G53" s="5">
        <v>0.15049999999999999</v>
      </c>
      <c r="H53" s="5">
        <v>0.154</v>
      </c>
      <c r="I53" s="5">
        <v>0.14779999999999999</v>
      </c>
    </row>
    <row r="54" spans="1:9" x14ac:dyDescent="0.2">
      <c r="A54" s="2" t="s">
        <v>1</v>
      </c>
      <c r="B54" s="5">
        <v>0</v>
      </c>
      <c r="C54" s="5">
        <v>0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</row>
    <row r="55" spans="1:9" x14ac:dyDescent="0.2">
      <c r="A55" s="2" t="s">
        <v>2</v>
      </c>
      <c r="B55" s="5">
        <v>7.6E-3</v>
      </c>
      <c r="C55" s="5">
        <v>8.0000000000000002E-3</v>
      </c>
      <c r="D55" s="5">
        <v>7.7000000000000002E-3</v>
      </c>
      <c r="E55" s="5">
        <v>7.6E-3</v>
      </c>
      <c r="F55" s="5">
        <v>7.6E-3</v>
      </c>
      <c r="G55" s="5">
        <v>7.4000000000000003E-3</v>
      </c>
      <c r="H55" s="5">
        <v>7.3000000000000001E-3</v>
      </c>
      <c r="I55" s="5">
        <v>7.4999999999999997E-3</v>
      </c>
    </row>
    <row r="56" spans="1:9" x14ac:dyDescent="0.2">
      <c r="A56" s="2" t="s">
        <v>3</v>
      </c>
      <c r="B56" s="5">
        <v>9.2100000000000001E-2</v>
      </c>
      <c r="C56" s="5">
        <v>8.8999999999999996E-2</v>
      </c>
      <c r="D56" s="5">
        <v>8.1500000000000003E-2</v>
      </c>
      <c r="E56" s="5">
        <v>8.09E-2</v>
      </c>
      <c r="F56" s="5">
        <v>8.0799999999999997E-2</v>
      </c>
      <c r="G56" s="5">
        <v>8.0199999999999994E-2</v>
      </c>
      <c r="H56" s="5">
        <v>0.08</v>
      </c>
      <c r="I56" s="5">
        <v>0.08</v>
      </c>
    </row>
    <row r="57" spans="1:9" x14ac:dyDescent="0.2">
      <c r="A57" s="3" t="s">
        <v>52</v>
      </c>
      <c r="B57" s="5">
        <v>0.13170000000000001</v>
      </c>
      <c r="C57" s="5">
        <v>0.1278</v>
      </c>
      <c r="D57" s="5">
        <v>0.12809999999999999</v>
      </c>
      <c r="E57" s="5">
        <v>0.129</v>
      </c>
      <c r="F57" s="5">
        <v>0.1293</v>
      </c>
      <c r="G57" s="5">
        <v>0.13020000000000001</v>
      </c>
      <c r="H57" s="5">
        <v>0.13120000000000001</v>
      </c>
      <c r="I57" s="5">
        <v>0.1293</v>
      </c>
    </row>
    <row r="58" spans="1:9" x14ac:dyDescent="0.2">
      <c r="A58" s="2" t="s">
        <v>7</v>
      </c>
      <c r="B58" s="5">
        <v>0</v>
      </c>
      <c r="C58" s="5">
        <v>0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 x14ac:dyDescent="0.2">
      <c r="A59" s="2" t="s">
        <v>8</v>
      </c>
      <c r="B59" s="5">
        <v>1.0500000000000001E-2</v>
      </c>
      <c r="C59" s="5">
        <v>9.5999999999999992E-3</v>
      </c>
      <c r="D59" s="5">
        <v>8.9999999999999993E-3</v>
      </c>
      <c r="E59" s="5">
        <v>8.9999999999999993E-3</v>
      </c>
      <c r="F59" s="5">
        <v>8.8999999999999999E-3</v>
      </c>
      <c r="G59" s="5">
        <v>8.8999999999999999E-3</v>
      </c>
      <c r="H59" s="5">
        <v>8.8000000000000005E-3</v>
      </c>
      <c r="I59" s="5">
        <v>8.8000000000000005E-3</v>
      </c>
    </row>
    <row r="60" spans="1:9" x14ac:dyDescent="0.2">
      <c r="A60" s="2" t="s">
        <v>43</v>
      </c>
      <c r="B60" s="5">
        <v>2.92E-2</v>
      </c>
      <c r="C60" s="5">
        <v>2.6800000000000001E-2</v>
      </c>
      <c r="D60" s="5">
        <v>2.52E-2</v>
      </c>
      <c r="E60" s="5">
        <v>2.5000000000000001E-2</v>
      </c>
      <c r="F60" s="5">
        <v>2.4899999999999999E-2</v>
      </c>
      <c r="G60" s="5">
        <v>2.47E-2</v>
      </c>
      <c r="H60" s="5">
        <v>2.4400000000000002E-2</v>
      </c>
      <c r="I60" s="5">
        <v>2.46E-2</v>
      </c>
    </row>
    <row r="61" spans="1:9" x14ac:dyDescent="0.2">
      <c r="A61" s="2" t="s">
        <v>44</v>
      </c>
      <c r="B61" s="5">
        <v>2.92E-2</v>
      </c>
      <c r="C61" s="5">
        <v>2.6800000000000001E-2</v>
      </c>
      <c r="D61" s="5">
        <v>2.52E-2</v>
      </c>
      <c r="E61" s="5">
        <v>2.5000000000000001E-2</v>
      </c>
      <c r="F61" s="5">
        <v>2.4899999999999999E-2</v>
      </c>
      <c r="G61" s="5">
        <v>2.47E-2</v>
      </c>
      <c r="H61" s="5">
        <v>2.4400000000000002E-2</v>
      </c>
      <c r="I61" s="5">
        <v>2.46E-2</v>
      </c>
    </row>
    <row r="62" spans="1:9" x14ac:dyDescent="0.2">
      <c r="A62" s="2" t="s">
        <v>9</v>
      </c>
      <c r="B62" s="5">
        <v>1.83E-2</v>
      </c>
      <c r="C62" s="5">
        <v>1.77E-2</v>
      </c>
      <c r="D62" s="5">
        <v>1.6199999999999999E-2</v>
      </c>
      <c r="E62" s="5">
        <v>1.61E-2</v>
      </c>
      <c r="F62" s="5">
        <v>1.61E-2</v>
      </c>
      <c r="G62" s="5">
        <v>1.5900000000000001E-2</v>
      </c>
      <c r="H62" s="5">
        <v>1.5800000000000002E-2</v>
      </c>
      <c r="I62" s="5">
        <v>1.5800000000000002E-2</v>
      </c>
    </row>
    <row r="63" spans="1:9" x14ac:dyDescent="0.2">
      <c r="A63" s="2" t="s">
        <v>10</v>
      </c>
      <c r="B63" s="5">
        <v>0</v>
      </c>
      <c r="C63" s="5">
        <v>0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</row>
    <row r="64" spans="1:9" x14ac:dyDescent="0.2">
      <c r="A64" s="2" t="s">
        <v>11</v>
      </c>
      <c r="B64" s="5">
        <v>4.0000000000000002E-4</v>
      </c>
      <c r="C64" s="5">
        <v>2.9999999999999997E-4</v>
      </c>
      <c r="D64" s="5">
        <v>2.9999999999999997E-4</v>
      </c>
      <c r="E64" s="5">
        <v>2.9999999999999997E-4</v>
      </c>
      <c r="F64" s="5">
        <v>2.9999999999999997E-4</v>
      </c>
      <c r="G64" s="5">
        <v>2.9999999999999997E-4</v>
      </c>
      <c r="H64" s="5">
        <v>2.9999999999999997E-4</v>
      </c>
      <c r="I64" s="5">
        <v>2.9999999999999997E-4</v>
      </c>
    </row>
    <row r="65" spans="1:12" x14ac:dyDescent="0.2">
      <c r="A65" s="2" t="s">
        <v>45</v>
      </c>
      <c r="B65" s="5">
        <v>2.7000000000000001E-3</v>
      </c>
      <c r="C65" s="5">
        <v>2.5000000000000001E-3</v>
      </c>
      <c r="D65" s="5">
        <v>2.5000000000000001E-3</v>
      </c>
      <c r="E65" s="5">
        <v>2.5000000000000001E-3</v>
      </c>
      <c r="F65" s="5">
        <v>2.5000000000000001E-3</v>
      </c>
      <c r="G65" s="5">
        <v>2.5999999999999999E-3</v>
      </c>
      <c r="H65" s="5">
        <v>2.5999999999999999E-3</v>
      </c>
      <c r="I65" s="5">
        <v>2.5000000000000001E-3</v>
      </c>
    </row>
    <row r="66" spans="1:12" x14ac:dyDescent="0.2">
      <c r="A66" s="2" t="s">
        <v>4</v>
      </c>
      <c r="B66" s="5">
        <v>0.18609999999999999</v>
      </c>
      <c r="C66" s="5">
        <v>0.18310000000000001</v>
      </c>
      <c r="D66" s="5">
        <v>0.20030000000000001</v>
      </c>
      <c r="E66" s="5">
        <v>0.2041</v>
      </c>
      <c r="F66" s="5">
        <v>0.20580000000000001</v>
      </c>
      <c r="G66" s="5">
        <v>0.21</v>
      </c>
      <c r="H66" s="5">
        <v>0.21479999999999999</v>
      </c>
      <c r="I66" s="5">
        <v>0.20780000000000001</v>
      </c>
    </row>
    <row r="67" spans="1:12" x14ac:dyDescent="0.2">
      <c r="A67" s="2" t="s">
        <v>12</v>
      </c>
      <c r="B67" s="5">
        <v>7.1499999999999994E-2</v>
      </c>
      <c r="C67" s="5">
        <v>6.9500000000000006E-2</v>
      </c>
      <c r="D67" s="5">
        <v>7.3800000000000004E-2</v>
      </c>
      <c r="E67" s="5">
        <v>7.4899999999999994E-2</v>
      </c>
      <c r="F67" s="5">
        <v>7.5300000000000006E-2</v>
      </c>
      <c r="G67" s="5">
        <v>7.6399999999999996E-2</v>
      </c>
      <c r="H67" s="5">
        <v>7.7600000000000002E-2</v>
      </c>
      <c r="I67" s="5">
        <v>7.5700000000000003E-2</v>
      </c>
    </row>
    <row r="68" spans="1:12" x14ac:dyDescent="0.2">
      <c r="A68" s="2" t="s">
        <v>5</v>
      </c>
      <c r="B68" s="5">
        <v>1E-4</v>
      </c>
      <c r="C68" s="5">
        <v>1E-4</v>
      </c>
      <c r="D68" s="5">
        <v>1E-4</v>
      </c>
      <c r="E68" s="5">
        <v>1E-4</v>
      </c>
      <c r="F68" s="5">
        <v>1E-4</v>
      </c>
      <c r="G68" s="5">
        <v>2.0000000000000001E-4</v>
      </c>
      <c r="H68" s="5">
        <v>2.0000000000000001E-4</v>
      </c>
      <c r="I68" s="5">
        <v>2.0000000000000001E-4</v>
      </c>
    </row>
    <row r="69" spans="1:12" x14ac:dyDescent="0.2">
      <c r="A69" s="2" t="s">
        <v>13</v>
      </c>
      <c r="B69" s="5">
        <v>3.8999999999999998E-3</v>
      </c>
      <c r="C69" s="5">
        <v>3.8E-3</v>
      </c>
      <c r="D69" s="5">
        <v>4.1999999999999997E-3</v>
      </c>
      <c r="E69" s="5">
        <v>4.3E-3</v>
      </c>
      <c r="F69" s="5">
        <v>4.3E-3</v>
      </c>
      <c r="G69" s="5">
        <v>4.4000000000000003E-3</v>
      </c>
      <c r="H69" s="5">
        <v>4.4999999999999997E-3</v>
      </c>
      <c r="I69" s="5">
        <v>4.3E-3</v>
      </c>
    </row>
    <row r="70" spans="1:12" x14ac:dyDescent="0.2">
      <c r="A70" s="2" t="s">
        <v>14</v>
      </c>
      <c r="B70" s="5">
        <v>2.6100000000000002E-2</v>
      </c>
      <c r="C70" s="5">
        <v>2.5399999999999999E-2</v>
      </c>
      <c r="D70" s="5">
        <v>2.69E-2</v>
      </c>
      <c r="E70" s="5">
        <v>2.7400000000000001E-2</v>
      </c>
      <c r="F70" s="5">
        <v>2.75E-2</v>
      </c>
      <c r="G70" s="5">
        <v>2.8000000000000001E-2</v>
      </c>
      <c r="H70" s="5">
        <v>2.8400000000000002E-2</v>
      </c>
      <c r="I70" s="5">
        <v>2.7699999999999999E-2</v>
      </c>
    </row>
    <row r="71" spans="1:12" x14ac:dyDescent="0.2">
      <c r="A71" s="3" t="s">
        <v>15</v>
      </c>
      <c r="B71" s="5">
        <v>1.6899999999999998E-2</v>
      </c>
      <c r="C71" s="5">
        <v>1.75999999999998E-2</v>
      </c>
      <c r="D71" s="5">
        <v>2.0400000000000099E-2</v>
      </c>
      <c r="E71" s="5">
        <v>2.0899999999999998E-2</v>
      </c>
      <c r="F71" s="5">
        <v>2.1200000000000101E-2</v>
      </c>
      <c r="G71" s="5">
        <v>2.2300000000000101E-2</v>
      </c>
      <c r="H71" s="5">
        <v>2.2800000000000001E-2</v>
      </c>
      <c r="I71" s="5">
        <v>2.1900000000000301E-2</v>
      </c>
    </row>
    <row r="72" spans="1:12" x14ac:dyDescent="0.2">
      <c r="A72" s="6" t="s">
        <v>30</v>
      </c>
      <c r="B72" s="7">
        <v>127.44</v>
      </c>
      <c r="C72" s="7">
        <v>130.88</v>
      </c>
      <c r="D72" s="7">
        <v>152.29</v>
      </c>
      <c r="E72" s="7">
        <v>158.13</v>
      </c>
      <c r="F72" s="7">
        <v>159.09</v>
      </c>
      <c r="G72" s="7">
        <v>167.47</v>
      </c>
      <c r="H72" s="7">
        <v>172.31</v>
      </c>
      <c r="I72" s="7">
        <v>163.63</v>
      </c>
    </row>
    <row r="76" spans="1:12" x14ac:dyDescent="0.2">
      <c r="A76" s="18" t="s">
        <v>34</v>
      </c>
      <c r="B76" s="16" t="s">
        <v>20</v>
      </c>
      <c r="C76" s="16" t="s">
        <v>16</v>
      </c>
      <c r="D76" s="16" t="s">
        <v>18</v>
      </c>
      <c r="E76" s="16" t="s">
        <v>28</v>
      </c>
      <c r="F76" s="16" t="s">
        <v>22</v>
      </c>
      <c r="G76" s="16" t="s">
        <v>24</v>
      </c>
      <c r="H76" s="16" t="s">
        <v>29</v>
      </c>
      <c r="I76" s="16" t="s">
        <v>26</v>
      </c>
    </row>
    <row r="77" spans="1:12" x14ac:dyDescent="0.2">
      <c r="A77" s="20" t="s">
        <v>6</v>
      </c>
      <c r="B77" s="21">
        <v>0.25840000000000002</v>
      </c>
      <c r="C77" s="21">
        <v>0.29270000000000002</v>
      </c>
      <c r="D77" s="21">
        <v>0.25409999999999999</v>
      </c>
      <c r="E77" s="21">
        <v>0.2427</v>
      </c>
      <c r="F77" s="21">
        <v>0.23930000000000001</v>
      </c>
      <c r="G77" s="21">
        <v>0.2253</v>
      </c>
      <c r="H77" s="21">
        <v>0.21460000000000001</v>
      </c>
      <c r="I77" s="21">
        <v>0.23350000000000001</v>
      </c>
      <c r="K77" s="5"/>
      <c r="L77" s="5"/>
    </row>
    <row r="78" spans="1:12" x14ac:dyDescent="0.2">
      <c r="A78" s="20" t="s">
        <v>0</v>
      </c>
      <c r="B78" s="21">
        <v>0.1338</v>
      </c>
      <c r="C78" s="21">
        <v>0.11650000000000001</v>
      </c>
      <c r="D78" s="21">
        <v>0.14430000000000001</v>
      </c>
      <c r="E78" s="21">
        <v>0.1502</v>
      </c>
      <c r="F78" s="21">
        <v>0.15110000000000001</v>
      </c>
      <c r="G78" s="21">
        <v>0.15870000000000001</v>
      </c>
      <c r="H78" s="21">
        <v>0.16259999999999999</v>
      </c>
      <c r="I78" s="21">
        <v>0.15579999999999999</v>
      </c>
      <c r="K78" s="5"/>
      <c r="L78" s="5"/>
    </row>
    <row r="79" spans="1:12" x14ac:dyDescent="0.2">
      <c r="A79" s="20" t="s">
        <v>1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K79" s="5"/>
      <c r="L79" s="5"/>
    </row>
    <row r="80" spans="1:12" x14ac:dyDescent="0.2">
      <c r="A80" s="20" t="s">
        <v>2</v>
      </c>
      <c r="B80" s="21">
        <v>8.0000000000000002E-3</v>
      </c>
      <c r="C80" s="21">
        <v>8.3999999999999995E-3</v>
      </c>
      <c r="D80" s="21">
        <v>8.0999999999999996E-3</v>
      </c>
      <c r="E80" s="21">
        <v>8.0000000000000002E-3</v>
      </c>
      <c r="F80" s="21">
        <v>8.0000000000000002E-3</v>
      </c>
      <c r="G80" s="21">
        <v>7.7999999999999996E-3</v>
      </c>
      <c r="H80" s="21">
        <v>7.7000000000000002E-3</v>
      </c>
      <c r="I80" s="21">
        <v>7.9000000000000008E-3</v>
      </c>
      <c r="K80" s="5"/>
      <c r="L80" s="5"/>
    </row>
    <row r="81" spans="1:12" x14ac:dyDescent="0.2">
      <c r="A81" s="20" t="s">
        <v>3</v>
      </c>
      <c r="B81" s="21">
        <v>9.06E-2</v>
      </c>
      <c r="C81" s="21">
        <v>8.7800000000000003E-2</v>
      </c>
      <c r="D81" s="21">
        <v>7.8600000000000003E-2</v>
      </c>
      <c r="E81" s="21">
        <v>7.7799999999999994E-2</v>
      </c>
      <c r="F81" s="21">
        <v>7.7700000000000005E-2</v>
      </c>
      <c r="G81" s="21">
        <v>7.6799999999999993E-2</v>
      </c>
      <c r="H81" s="21">
        <v>7.6399999999999996E-2</v>
      </c>
      <c r="I81" s="21">
        <v>7.6600000000000001E-2</v>
      </c>
      <c r="K81" s="5"/>
      <c r="L81" s="5"/>
    </row>
    <row r="82" spans="1:12" x14ac:dyDescent="0.2">
      <c r="A82" s="22" t="s">
        <v>52</v>
      </c>
      <c r="B82" s="21">
        <v>0.1308</v>
      </c>
      <c r="C82" s="21">
        <v>0.12690000000000001</v>
      </c>
      <c r="D82" s="21">
        <v>0.12709999999999999</v>
      </c>
      <c r="E82" s="21">
        <v>0.128</v>
      </c>
      <c r="F82" s="21">
        <v>0.12839999999999999</v>
      </c>
      <c r="G82" s="21">
        <v>0.12939999999999999</v>
      </c>
      <c r="H82" s="21">
        <v>0.13039999999999999</v>
      </c>
      <c r="I82" s="21">
        <v>0.1283</v>
      </c>
      <c r="K82" s="5"/>
      <c r="L82" s="5"/>
    </row>
    <row r="83" spans="1:12" x14ac:dyDescent="0.2">
      <c r="A83" s="20" t="s">
        <v>7</v>
      </c>
      <c r="B83" s="21">
        <v>0</v>
      </c>
      <c r="C83" s="21">
        <v>0</v>
      </c>
      <c r="D83" s="21">
        <v>0</v>
      </c>
      <c r="E83" s="21">
        <v>0</v>
      </c>
      <c r="F83" s="21">
        <v>0</v>
      </c>
      <c r="G83" s="21">
        <v>0</v>
      </c>
      <c r="H83" s="21">
        <v>0</v>
      </c>
      <c r="I83" s="21">
        <v>0</v>
      </c>
      <c r="K83" s="5"/>
      <c r="L83" s="5"/>
    </row>
    <row r="84" spans="1:12" x14ac:dyDescent="0.2">
      <c r="A84" s="20" t="s">
        <v>8</v>
      </c>
      <c r="B84" s="21">
        <v>1.0999999999999999E-2</v>
      </c>
      <c r="C84" s="21">
        <v>1.01E-2</v>
      </c>
      <c r="D84" s="21">
        <v>9.4999999999999998E-3</v>
      </c>
      <c r="E84" s="21">
        <v>9.4000000000000004E-3</v>
      </c>
      <c r="F84" s="21">
        <v>9.4000000000000004E-3</v>
      </c>
      <c r="G84" s="21">
        <v>9.2999999999999992E-3</v>
      </c>
      <c r="H84" s="21">
        <v>9.2999999999999992E-3</v>
      </c>
      <c r="I84" s="21">
        <v>9.2999999999999992E-3</v>
      </c>
      <c r="K84" s="5"/>
      <c r="L84" s="5"/>
    </row>
    <row r="85" spans="1:12" x14ac:dyDescent="0.2">
      <c r="A85" s="20" t="s">
        <v>43</v>
      </c>
      <c r="B85" s="21">
        <v>3.0700000000000002E-2</v>
      </c>
      <c r="C85" s="21">
        <v>2.81E-2</v>
      </c>
      <c r="D85" s="21">
        <v>2.6499999999999999E-2</v>
      </c>
      <c r="E85" s="21">
        <v>2.63E-2</v>
      </c>
      <c r="F85" s="21">
        <v>2.6200000000000001E-2</v>
      </c>
      <c r="G85" s="21">
        <v>2.6100000000000002E-2</v>
      </c>
      <c r="H85" s="21">
        <v>2.58E-2</v>
      </c>
      <c r="I85" s="21">
        <v>2.5999999999999999E-2</v>
      </c>
      <c r="K85" s="5"/>
      <c r="L85" s="5"/>
    </row>
    <row r="86" spans="1:12" x14ac:dyDescent="0.2">
      <c r="A86" s="20" t="s">
        <v>44</v>
      </c>
      <c r="B86" s="21">
        <v>3.0700000000000002E-2</v>
      </c>
      <c r="C86" s="21">
        <v>2.81E-2</v>
      </c>
      <c r="D86" s="21">
        <v>2.6499999999999999E-2</v>
      </c>
      <c r="E86" s="21">
        <v>2.63E-2</v>
      </c>
      <c r="F86" s="21">
        <v>2.6200000000000001E-2</v>
      </c>
      <c r="G86" s="21">
        <v>2.6100000000000002E-2</v>
      </c>
      <c r="H86" s="21">
        <v>2.58E-2</v>
      </c>
      <c r="I86" s="21">
        <v>2.5999999999999999E-2</v>
      </c>
      <c r="K86" s="5"/>
      <c r="L86" s="5"/>
    </row>
    <row r="87" spans="1:12" x14ac:dyDescent="0.2">
      <c r="A87" s="20" t="s">
        <v>9</v>
      </c>
      <c r="B87" s="21">
        <v>1.89E-2</v>
      </c>
      <c r="C87" s="21">
        <v>1.83E-2</v>
      </c>
      <c r="D87" s="21">
        <v>1.67E-2</v>
      </c>
      <c r="E87" s="21">
        <v>1.66E-2</v>
      </c>
      <c r="F87" s="21">
        <v>1.66E-2</v>
      </c>
      <c r="G87" s="21">
        <v>1.6400000000000001E-2</v>
      </c>
      <c r="H87" s="21">
        <v>1.6299999999999999E-2</v>
      </c>
      <c r="I87" s="21">
        <v>1.6400000000000001E-2</v>
      </c>
      <c r="K87" s="5"/>
      <c r="L87" s="5"/>
    </row>
    <row r="88" spans="1:12" x14ac:dyDescent="0.2">
      <c r="A88" s="20" t="s">
        <v>10</v>
      </c>
      <c r="B88" s="21">
        <v>0</v>
      </c>
      <c r="C88" s="21">
        <v>0</v>
      </c>
      <c r="D88" s="21">
        <v>0</v>
      </c>
      <c r="E88" s="21">
        <v>0</v>
      </c>
      <c r="F88" s="21">
        <v>0</v>
      </c>
      <c r="G88" s="21">
        <v>0</v>
      </c>
      <c r="H88" s="21">
        <v>0</v>
      </c>
      <c r="I88" s="21">
        <v>0</v>
      </c>
      <c r="K88" s="5"/>
      <c r="L88" s="5"/>
    </row>
    <row r="89" spans="1:12" x14ac:dyDescent="0.2">
      <c r="A89" s="20" t="s">
        <v>11</v>
      </c>
      <c r="B89" s="21">
        <v>2.9999999999999997E-4</v>
      </c>
      <c r="C89" s="21">
        <v>2.9999999999999997E-4</v>
      </c>
      <c r="D89" s="21">
        <v>2.9999999999999997E-4</v>
      </c>
      <c r="E89" s="21">
        <v>2.9999999999999997E-4</v>
      </c>
      <c r="F89" s="21">
        <v>2.9999999999999997E-4</v>
      </c>
      <c r="G89" s="21">
        <v>2.9999999999999997E-4</v>
      </c>
      <c r="H89" s="21">
        <v>2.9999999999999997E-4</v>
      </c>
      <c r="I89" s="21">
        <v>2.9999999999999997E-4</v>
      </c>
      <c r="K89" s="5"/>
      <c r="L89" s="5"/>
    </row>
    <row r="90" spans="1:12" x14ac:dyDescent="0.2">
      <c r="A90" s="20" t="s">
        <v>45</v>
      </c>
      <c r="B90" s="21">
        <v>2.8E-3</v>
      </c>
      <c r="C90" s="21">
        <v>2.5999999999999999E-3</v>
      </c>
      <c r="D90" s="21">
        <v>2.5999999999999999E-3</v>
      </c>
      <c r="E90" s="21">
        <v>2.5999999999999999E-3</v>
      </c>
      <c r="F90" s="21">
        <v>2.5999999999999999E-3</v>
      </c>
      <c r="G90" s="21">
        <v>2.5999999999999999E-3</v>
      </c>
      <c r="H90" s="21">
        <v>2.5999999999999999E-3</v>
      </c>
      <c r="I90" s="21">
        <v>2.5999999999999999E-3</v>
      </c>
      <c r="K90" s="5"/>
      <c r="L90" s="5"/>
    </row>
    <row r="91" spans="1:12" x14ac:dyDescent="0.2">
      <c r="A91" s="20" t="s">
        <v>4</v>
      </c>
      <c r="B91" s="21">
        <v>0.1734</v>
      </c>
      <c r="C91" s="21">
        <v>0.17180000000000001</v>
      </c>
      <c r="D91" s="21">
        <v>0.1885</v>
      </c>
      <c r="E91" s="21">
        <v>0.19239999999999999</v>
      </c>
      <c r="F91" s="21">
        <v>0.19409999999999999</v>
      </c>
      <c r="G91" s="21">
        <v>0.1983</v>
      </c>
      <c r="H91" s="21">
        <v>0.2031</v>
      </c>
      <c r="I91" s="21">
        <v>0.1961</v>
      </c>
      <c r="K91" s="5"/>
      <c r="L91" s="5"/>
    </row>
    <row r="92" spans="1:12" x14ac:dyDescent="0.2">
      <c r="A92" s="20" t="s">
        <v>12</v>
      </c>
      <c r="B92" s="21">
        <v>6.9199999999999998E-2</v>
      </c>
      <c r="C92" s="21">
        <v>6.7599999999999993E-2</v>
      </c>
      <c r="D92" s="21">
        <v>7.1999999999999995E-2</v>
      </c>
      <c r="E92" s="21">
        <v>7.3099999999999998E-2</v>
      </c>
      <c r="F92" s="21">
        <v>7.3599999999999999E-2</v>
      </c>
      <c r="G92" s="21">
        <v>7.4800000000000005E-2</v>
      </c>
      <c r="H92" s="21">
        <v>7.6100000000000001E-2</v>
      </c>
      <c r="I92" s="21">
        <v>7.4099999999999999E-2</v>
      </c>
      <c r="K92" s="5"/>
      <c r="L92" s="5"/>
    </row>
    <row r="93" spans="1:12" x14ac:dyDescent="0.2">
      <c r="A93" s="20" t="s">
        <v>5</v>
      </c>
      <c r="B93" s="21">
        <v>1E-4</v>
      </c>
      <c r="C93" s="21">
        <v>1E-4</v>
      </c>
      <c r="D93" s="21">
        <v>1E-4</v>
      </c>
      <c r="E93" s="21">
        <v>1E-4</v>
      </c>
      <c r="F93" s="21">
        <v>1E-4</v>
      </c>
      <c r="G93" s="21">
        <v>1E-4</v>
      </c>
      <c r="H93" s="21">
        <v>1E-4</v>
      </c>
      <c r="I93" s="21">
        <v>1E-4</v>
      </c>
      <c r="K93" s="5"/>
      <c r="L93" s="5"/>
    </row>
    <row r="94" spans="1:12" x14ac:dyDescent="0.2">
      <c r="A94" s="20" t="s">
        <v>13</v>
      </c>
      <c r="B94" s="21">
        <v>3.8E-3</v>
      </c>
      <c r="C94" s="21">
        <v>3.7000000000000002E-3</v>
      </c>
      <c r="D94" s="21">
        <v>4.1000000000000003E-3</v>
      </c>
      <c r="E94" s="21">
        <v>4.1000000000000003E-3</v>
      </c>
      <c r="F94" s="21">
        <v>4.1999999999999997E-3</v>
      </c>
      <c r="G94" s="21">
        <v>4.3E-3</v>
      </c>
      <c r="H94" s="21">
        <v>4.4000000000000003E-3</v>
      </c>
      <c r="I94" s="21">
        <v>4.1999999999999997E-3</v>
      </c>
      <c r="K94" s="5"/>
      <c r="L94" s="5"/>
    </row>
    <row r="95" spans="1:12" x14ac:dyDescent="0.2">
      <c r="A95" s="20" t="s">
        <v>14</v>
      </c>
      <c r="B95" s="21">
        <v>2.4500000000000001E-2</v>
      </c>
      <c r="C95" s="21">
        <v>2.3900000000000001E-2</v>
      </c>
      <c r="D95" s="21">
        <v>2.5399999999999999E-2</v>
      </c>
      <c r="E95" s="21">
        <v>2.58E-2</v>
      </c>
      <c r="F95" s="21">
        <v>2.5899999999999999E-2</v>
      </c>
      <c r="G95" s="21">
        <v>2.64E-2</v>
      </c>
      <c r="H95" s="21">
        <v>2.6800000000000001E-2</v>
      </c>
      <c r="I95" s="21">
        <v>2.6100000000000002E-2</v>
      </c>
      <c r="K95" s="5"/>
      <c r="L95" s="5"/>
    </row>
    <row r="96" spans="1:12" x14ac:dyDescent="0.2">
      <c r="A96" s="22" t="s">
        <v>15</v>
      </c>
      <c r="B96" s="21">
        <v>1.2999999999999999E-2</v>
      </c>
      <c r="C96" s="21">
        <v>1.3099999999999799E-2</v>
      </c>
      <c r="D96" s="21">
        <v>1.5600000000000201E-2</v>
      </c>
      <c r="E96" s="21">
        <v>1.6299999999999999E-2</v>
      </c>
      <c r="F96" s="21">
        <v>1.6300000000000099E-2</v>
      </c>
      <c r="G96" s="21">
        <v>1.73000000000001E-2</v>
      </c>
      <c r="H96" s="21">
        <v>1.76999999999999E-2</v>
      </c>
      <c r="I96" s="21">
        <v>1.6699999999999899E-2</v>
      </c>
      <c r="K96" s="5"/>
      <c r="L96" s="5"/>
    </row>
    <row r="97" spans="1:12" x14ac:dyDescent="0.2">
      <c r="A97" s="22" t="s">
        <v>30</v>
      </c>
      <c r="B97" s="23">
        <v>133.78</v>
      </c>
      <c r="C97" s="23">
        <v>136.69999999999999</v>
      </c>
      <c r="D97" s="23">
        <v>160.33000000000001</v>
      </c>
      <c r="E97" s="23">
        <v>166.69</v>
      </c>
      <c r="F97" s="23">
        <v>167.76</v>
      </c>
      <c r="G97" s="23">
        <v>176.9</v>
      </c>
      <c r="H97" s="23">
        <v>182.24</v>
      </c>
      <c r="I97" s="23">
        <v>172.71</v>
      </c>
      <c r="K97" s="26"/>
      <c r="L97" s="5"/>
    </row>
    <row r="101" spans="1:12" x14ac:dyDescent="0.2">
      <c r="A101" s="4" t="s">
        <v>35</v>
      </c>
      <c r="B101" s="1" t="s">
        <v>20</v>
      </c>
      <c r="C101" s="1" t="s">
        <v>16</v>
      </c>
      <c r="D101" s="1" t="s">
        <v>18</v>
      </c>
      <c r="E101" s="1" t="s">
        <v>28</v>
      </c>
      <c r="F101" s="1" t="s">
        <v>22</v>
      </c>
      <c r="G101" s="1" t="s">
        <v>24</v>
      </c>
      <c r="H101" s="1" t="s">
        <v>29</v>
      </c>
      <c r="I101" s="1" t="s">
        <v>26</v>
      </c>
    </row>
    <row r="102" spans="1:12" x14ac:dyDescent="0.2">
      <c r="A102" s="2" t="s">
        <v>6</v>
      </c>
      <c r="B102" s="5">
        <v>0.27800000000000002</v>
      </c>
      <c r="C102" s="5">
        <v>0.31619999999999998</v>
      </c>
      <c r="D102" s="5">
        <v>0.28000000000000003</v>
      </c>
      <c r="E102" s="5">
        <v>0.2676</v>
      </c>
      <c r="F102" s="5">
        <v>0.26550000000000001</v>
      </c>
      <c r="G102" s="5">
        <v>0.25019999999999998</v>
      </c>
      <c r="H102" s="5">
        <v>0.2389</v>
      </c>
      <c r="I102" s="5">
        <v>0.25900000000000001</v>
      </c>
    </row>
    <row r="103" spans="1:12" x14ac:dyDescent="0.2">
      <c r="A103" s="2" t="s">
        <v>0</v>
      </c>
      <c r="B103" s="5">
        <v>0.14319999999999999</v>
      </c>
      <c r="C103" s="5">
        <v>0.12509999999999999</v>
      </c>
      <c r="D103" s="5">
        <v>0.158</v>
      </c>
      <c r="E103" s="5">
        <v>0.1646</v>
      </c>
      <c r="F103" s="5">
        <v>0.16650000000000001</v>
      </c>
      <c r="G103" s="5">
        <v>0.17510000000000001</v>
      </c>
      <c r="H103" s="5">
        <v>0.17979999999999999</v>
      </c>
      <c r="I103" s="5">
        <v>0.17169999999999999</v>
      </c>
    </row>
    <row r="104" spans="1:12" x14ac:dyDescent="0.2">
      <c r="A104" s="2" t="s">
        <v>1</v>
      </c>
      <c r="B104" s="5">
        <v>0</v>
      </c>
      <c r="C104" s="5">
        <v>0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</row>
    <row r="105" spans="1:12" x14ac:dyDescent="0.2">
      <c r="A105" s="2" t="s">
        <v>2</v>
      </c>
      <c r="B105" s="5">
        <v>8.6E-3</v>
      </c>
      <c r="C105" s="5">
        <v>8.9999999999999993E-3</v>
      </c>
      <c r="D105" s="5">
        <v>8.8999999999999999E-3</v>
      </c>
      <c r="E105" s="5">
        <v>8.8000000000000005E-3</v>
      </c>
      <c r="F105" s="5">
        <v>8.8000000000000005E-3</v>
      </c>
      <c r="G105" s="5">
        <v>8.6999999999999994E-3</v>
      </c>
      <c r="H105" s="5">
        <v>8.5000000000000006E-3</v>
      </c>
      <c r="I105" s="5">
        <v>8.8000000000000005E-3</v>
      </c>
    </row>
    <row r="106" spans="1:12" x14ac:dyDescent="0.2">
      <c r="A106" s="2" t="s">
        <v>3</v>
      </c>
      <c r="B106" s="5">
        <v>9.7699999999999995E-2</v>
      </c>
      <c r="C106" s="5">
        <v>9.3899999999999997E-2</v>
      </c>
      <c r="D106" s="5">
        <v>8.1000000000000003E-2</v>
      </c>
      <c r="E106" s="5">
        <v>7.9399999999999998E-2</v>
      </c>
      <c r="F106" s="5">
        <v>7.9100000000000004E-2</v>
      </c>
      <c r="G106" s="5">
        <v>7.7399999999999997E-2</v>
      </c>
      <c r="H106" s="5">
        <v>7.6999999999999999E-2</v>
      </c>
      <c r="I106" s="5">
        <v>7.7399999999999997E-2</v>
      </c>
    </row>
    <row r="107" spans="1:12" x14ac:dyDescent="0.2">
      <c r="A107" s="3" t="s">
        <v>52</v>
      </c>
      <c r="B107" s="5">
        <v>0.1263</v>
      </c>
      <c r="C107" s="5">
        <v>0.12189999999999999</v>
      </c>
      <c r="D107" s="5">
        <v>0.1203</v>
      </c>
      <c r="E107" s="5">
        <v>0.121</v>
      </c>
      <c r="F107" s="5">
        <v>0.1211</v>
      </c>
      <c r="G107" s="5">
        <v>0.122</v>
      </c>
      <c r="H107" s="5">
        <v>0.123</v>
      </c>
      <c r="I107" s="5">
        <v>0.12089999999999999</v>
      </c>
    </row>
    <row r="108" spans="1:12" x14ac:dyDescent="0.2">
      <c r="A108" s="2" t="s">
        <v>7</v>
      </c>
      <c r="B108" s="5">
        <v>0</v>
      </c>
      <c r="C108" s="5">
        <v>0</v>
      </c>
      <c r="D108" s="5">
        <v>0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</row>
    <row r="109" spans="1:12" x14ac:dyDescent="0.2">
      <c r="A109" s="2" t="s">
        <v>8</v>
      </c>
      <c r="B109" s="5">
        <v>1.2E-2</v>
      </c>
      <c r="C109" s="5">
        <v>1.0999999999999999E-2</v>
      </c>
      <c r="D109" s="5">
        <v>1.0500000000000001E-2</v>
      </c>
      <c r="E109" s="5">
        <v>1.04E-2</v>
      </c>
      <c r="F109" s="5">
        <v>1.04E-2</v>
      </c>
      <c r="G109" s="5">
        <v>1.03E-2</v>
      </c>
      <c r="H109" s="5">
        <v>1.03E-2</v>
      </c>
      <c r="I109" s="5">
        <v>1.03E-2</v>
      </c>
    </row>
    <row r="110" spans="1:12" x14ac:dyDescent="0.2">
      <c r="A110" s="2" t="s">
        <v>43</v>
      </c>
      <c r="B110" s="5">
        <v>3.3500000000000002E-2</v>
      </c>
      <c r="C110" s="5">
        <v>3.0700000000000002E-2</v>
      </c>
      <c r="D110" s="5">
        <v>2.92E-2</v>
      </c>
      <c r="E110" s="5">
        <v>2.9000000000000001E-2</v>
      </c>
      <c r="F110" s="5">
        <v>2.9000000000000001E-2</v>
      </c>
      <c r="G110" s="5">
        <v>2.8899999999999999E-2</v>
      </c>
      <c r="H110" s="5">
        <v>2.86E-2</v>
      </c>
      <c r="I110" s="5">
        <v>2.87E-2</v>
      </c>
    </row>
    <row r="111" spans="1:12" x14ac:dyDescent="0.2">
      <c r="A111" s="2" t="s">
        <v>44</v>
      </c>
      <c r="B111" s="5">
        <v>3.3500000000000002E-2</v>
      </c>
      <c r="C111" s="5">
        <v>3.0700000000000002E-2</v>
      </c>
      <c r="D111" s="5">
        <v>2.92E-2</v>
      </c>
      <c r="E111" s="5">
        <v>2.9000000000000001E-2</v>
      </c>
      <c r="F111" s="5">
        <v>2.9000000000000001E-2</v>
      </c>
      <c r="G111" s="5">
        <v>2.8899999999999999E-2</v>
      </c>
      <c r="H111" s="5">
        <v>2.86E-2</v>
      </c>
      <c r="I111" s="5">
        <v>2.87E-2</v>
      </c>
    </row>
    <row r="112" spans="1:12" x14ac:dyDescent="0.2">
      <c r="A112" s="2" t="s">
        <v>9</v>
      </c>
      <c r="B112" s="5">
        <v>1.9800000000000002E-2</v>
      </c>
      <c r="C112" s="5">
        <v>1.9E-2</v>
      </c>
      <c r="D112" s="5">
        <v>1.7000000000000001E-2</v>
      </c>
      <c r="E112" s="5">
        <v>1.6799999999999999E-2</v>
      </c>
      <c r="F112" s="5">
        <v>1.67E-2</v>
      </c>
      <c r="G112" s="5">
        <v>1.6400000000000001E-2</v>
      </c>
      <c r="H112" s="5">
        <v>1.6299999999999999E-2</v>
      </c>
      <c r="I112" s="5">
        <v>1.6400000000000001E-2</v>
      </c>
    </row>
    <row r="113" spans="1:9" x14ac:dyDescent="0.2">
      <c r="A113" s="2" t="s">
        <v>10</v>
      </c>
      <c r="B113" s="5">
        <v>0</v>
      </c>
      <c r="C113" s="5">
        <v>0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</row>
    <row r="114" spans="1:9" x14ac:dyDescent="0.2">
      <c r="A114" s="2" t="s">
        <v>11</v>
      </c>
      <c r="B114" s="5">
        <v>2.9999999999999997E-4</v>
      </c>
      <c r="C114" s="5">
        <v>2.9999999999999997E-4</v>
      </c>
      <c r="D114" s="5">
        <v>2.0000000000000001E-4</v>
      </c>
      <c r="E114" s="5">
        <v>2.0000000000000001E-4</v>
      </c>
      <c r="F114" s="5">
        <v>2.0000000000000001E-4</v>
      </c>
      <c r="G114" s="5">
        <v>2.0000000000000001E-4</v>
      </c>
      <c r="H114" s="5">
        <v>2.0000000000000001E-4</v>
      </c>
      <c r="I114" s="5">
        <v>2.0000000000000001E-4</v>
      </c>
    </row>
    <row r="115" spans="1:9" x14ac:dyDescent="0.2">
      <c r="A115" s="2" t="s">
        <v>45</v>
      </c>
      <c r="B115" s="5">
        <v>2.8E-3</v>
      </c>
      <c r="C115" s="5">
        <v>2.5999999999999999E-3</v>
      </c>
      <c r="D115" s="5">
        <v>2.5999999999999999E-3</v>
      </c>
      <c r="E115" s="5">
        <v>2.5999999999999999E-3</v>
      </c>
      <c r="F115" s="5">
        <v>2.7000000000000001E-3</v>
      </c>
      <c r="G115" s="5">
        <v>2.7000000000000001E-3</v>
      </c>
      <c r="H115" s="5">
        <v>2.7000000000000001E-3</v>
      </c>
      <c r="I115" s="5">
        <v>2.5999999999999999E-3</v>
      </c>
    </row>
    <row r="116" spans="1:9" x14ac:dyDescent="0.2">
      <c r="A116" s="2" t="s">
        <v>4</v>
      </c>
      <c r="B116" s="5">
        <v>0.14829999999999999</v>
      </c>
      <c r="C116" s="5">
        <v>0.1459</v>
      </c>
      <c r="D116" s="5">
        <v>0.161</v>
      </c>
      <c r="E116" s="5">
        <v>0.16589999999999999</v>
      </c>
      <c r="F116" s="5">
        <v>0.1661</v>
      </c>
      <c r="G116" s="5">
        <v>0.17130000000000001</v>
      </c>
      <c r="H116" s="5">
        <v>0.17580000000000001</v>
      </c>
      <c r="I116" s="5">
        <v>0.16889999999999999</v>
      </c>
    </row>
    <row r="117" spans="1:9" x14ac:dyDescent="0.2">
      <c r="A117" s="2" t="s">
        <v>12</v>
      </c>
      <c r="B117" s="5">
        <v>6.2300000000000001E-2</v>
      </c>
      <c r="C117" s="5">
        <v>6.0600000000000001E-2</v>
      </c>
      <c r="D117" s="5">
        <v>6.5100000000000005E-2</v>
      </c>
      <c r="E117" s="5">
        <v>6.6600000000000006E-2</v>
      </c>
      <c r="F117" s="5">
        <v>6.6699999999999995E-2</v>
      </c>
      <c r="G117" s="5">
        <v>6.83E-2</v>
      </c>
      <c r="H117" s="5">
        <v>6.9699999999999998E-2</v>
      </c>
      <c r="I117" s="5">
        <v>6.7500000000000004E-2</v>
      </c>
    </row>
    <row r="118" spans="1:9" x14ac:dyDescent="0.2">
      <c r="A118" s="2" t="s">
        <v>5</v>
      </c>
      <c r="B118" s="5">
        <v>1E-4</v>
      </c>
      <c r="C118" s="5">
        <v>1E-4</v>
      </c>
      <c r="D118" s="5">
        <v>1E-4</v>
      </c>
      <c r="E118" s="5">
        <v>1E-4</v>
      </c>
      <c r="F118" s="5">
        <v>1E-4</v>
      </c>
      <c r="G118" s="5">
        <v>1E-4</v>
      </c>
      <c r="H118" s="5">
        <v>1E-4</v>
      </c>
      <c r="I118" s="5">
        <v>1E-4</v>
      </c>
    </row>
    <row r="119" spans="1:9" x14ac:dyDescent="0.2">
      <c r="A119" s="2" t="s">
        <v>13</v>
      </c>
      <c r="B119" s="5">
        <v>3.3E-3</v>
      </c>
      <c r="C119" s="5">
        <v>3.3E-3</v>
      </c>
      <c r="D119" s="5">
        <v>3.5999999999999999E-3</v>
      </c>
      <c r="E119" s="5">
        <v>3.7000000000000002E-3</v>
      </c>
      <c r="F119" s="5">
        <v>3.7000000000000002E-3</v>
      </c>
      <c r="G119" s="5">
        <v>3.8E-3</v>
      </c>
      <c r="H119" s="5">
        <v>3.8999999999999998E-3</v>
      </c>
      <c r="I119" s="5">
        <v>3.7000000000000002E-3</v>
      </c>
    </row>
    <row r="120" spans="1:9" x14ac:dyDescent="0.2">
      <c r="A120" s="2" t="s">
        <v>14</v>
      </c>
      <c r="B120" s="5">
        <v>2.1700000000000001E-2</v>
      </c>
      <c r="C120" s="5">
        <v>2.1100000000000001E-2</v>
      </c>
      <c r="D120" s="5">
        <v>2.2599999999999999E-2</v>
      </c>
      <c r="E120" s="5">
        <v>2.3099999999999999E-2</v>
      </c>
      <c r="F120" s="5">
        <v>2.3199999999999998E-2</v>
      </c>
      <c r="G120" s="5">
        <v>2.3800000000000002E-2</v>
      </c>
      <c r="H120" s="5">
        <v>2.4199999999999999E-2</v>
      </c>
      <c r="I120" s="5">
        <v>2.3400000000000001E-2</v>
      </c>
    </row>
    <row r="121" spans="1:9" x14ac:dyDescent="0.2">
      <c r="A121" s="3" t="s">
        <v>15</v>
      </c>
      <c r="B121" s="5">
        <v>8.6000000000000503E-3</v>
      </c>
      <c r="C121" s="5">
        <v>8.6000000000000503E-3</v>
      </c>
      <c r="D121" s="5">
        <v>1.0699999999999901E-2</v>
      </c>
      <c r="E121" s="5">
        <v>1.12E-2</v>
      </c>
      <c r="F121" s="5">
        <v>1.1199999999999899E-2</v>
      </c>
      <c r="G121" s="5">
        <v>1.18999999999999E-2</v>
      </c>
      <c r="H121" s="5">
        <v>1.24000000000001E-2</v>
      </c>
      <c r="I121" s="5">
        <v>1.17000000000003E-2</v>
      </c>
    </row>
    <row r="122" spans="1:9" x14ac:dyDescent="0.2">
      <c r="A122" s="6" t="s">
        <v>30</v>
      </c>
      <c r="B122" s="7">
        <v>144.02000000000001</v>
      </c>
      <c r="C122" s="7">
        <v>147.68</v>
      </c>
      <c r="D122" s="7">
        <v>176.68</v>
      </c>
      <c r="E122" s="7">
        <v>183.83</v>
      </c>
      <c r="F122" s="7">
        <v>186.07</v>
      </c>
      <c r="G122" s="7">
        <v>196.38</v>
      </c>
      <c r="H122" s="7">
        <v>202.89</v>
      </c>
      <c r="I122" s="7">
        <v>191.57</v>
      </c>
    </row>
    <row r="126" spans="1:9" x14ac:dyDescent="0.2">
      <c r="A126" s="4" t="s">
        <v>36</v>
      </c>
      <c r="B126" s="1" t="s">
        <v>20</v>
      </c>
      <c r="C126" s="1" t="s">
        <v>16</v>
      </c>
      <c r="D126" s="1" t="s">
        <v>18</v>
      </c>
      <c r="E126" s="1" t="s">
        <v>28</v>
      </c>
      <c r="F126" s="1" t="s">
        <v>22</v>
      </c>
      <c r="G126" s="1" t="s">
        <v>24</v>
      </c>
      <c r="H126" s="1" t="s">
        <v>29</v>
      </c>
      <c r="I126" s="1" t="s">
        <v>26</v>
      </c>
    </row>
    <row r="127" spans="1:9" x14ac:dyDescent="0.2">
      <c r="A127" s="2" t="s">
        <v>6</v>
      </c>
      <c r="B127" s="5">
        <v>0.28639999999999999</v>
      </c>
      <c r="C127" s="5">
        <v>0.32540000000000002</v>
      </c>
      <c r="D127" s="5">
        <v>0.2888</v>
      </c>
      <c r="E127" s="5">
        <v>0.27779999999999999</v>
      </c>
      <c r="F127" s="5">
        <v>0.27429999999999999</v>
      </c>
      <c r="G127" s="5">
        <v>0.25900000000000001</v>
      </c>
      <c r="H127" s="5">
        <v>0.24879999999999999</v>
      </c>
      <c r="I127" s="5">
        <v>0.26790000000000003</v>
      </c>
    </row>
    <row r="128" spans="1:9" x14ac:dyDescent="0.2">
      <c r="A128" s="2" t="s">
        <v>0</v>
      </c>
      <c r="B128" s="5">
        <v>0.1474</v>
      </c>
      <c r="C128" s="5">
        <v>0.12859999999999999</v>
      </c>
      <c r="D128" s="5">
        <v>0.1628</v>
      </c>
      <c r="E128" s="5">
        <v>0.17069999999999999</v>
      </c>
      <c r="F128" s="5">
        <v>0.1719</v>
      </c>
      <c r="G128" s="5">
        <v>0.18110000000000001</v>
      </c>
      <c r="H128" s="5">
        <v>0.18709999999999999</v>
      </c>
      <c r="I128" s="5">
        <v>0.17749999999999999</v>
      </c>
    </row>
    <row r="129" spans="1:9" x14ac:dyDescent="0.2">
      <c r="A129" s="2" t="s">
        <v>1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</row>
    <row r="130" spans="1:9" x14ac:dyDescent="0.2">
      <c r="A130" s="2" t="s">
        <v>2</v>
      </c>
      <c r="B130" s="5">
        <v>8.8999999999999999E-3</v>
      </c>
      <c r="C130" s="5">
        <v>9.2999999999999992E-3</v>
      </c>
      <c r="D130" s="5">
        <v>9.1999999999999998E-3</v>
      </c>
      <c r="E130" s="5">
        <v>9.1999999999999998E-3</v>
      </c>
      <c r="F130" s="5">
        <v>9.1000000000000004E-3</v>
      </c>
      <c r="G130" s="5">
        <v>8.9999999999999993E-3</v>
      </c>
      <c r="H130" s="5">
        <v>8.8999999999999999E-3</v>
      </c>
      <c r="I130" s="5">
        <v>9.1000000000000004E-3</v>
      </c>
    </row>
    <row r="131" spans="1:9" x14ac:dyDescent="0.2">
      <c r="A131" s="2" t="s">
        <v>3</v>
      </c>
      <c r="B131" s="5">
        <v>9.64E-2</v>
      </c>
      <c r="C131" s="5">
        <v>9.2700000000000005E-2</v>
      </c>
      <c r="D131" s="5">
        <v>7.8200000000000006E-2</v>
      </c>
      <c r="E131" s="5">
        <v>7.6300000000000007E-2</v>
      </c>
      <c r="F131" s="5">
        <v>7.5899999999999995E-2</v>
      </c>
      <c r="G131" s="5">
        <v>7.3800000000000004E-2</v>
      </c>
      <c r="H131" s="5">
        <v>7.2499999999999995E-2</v>
      </c>
      <c r="I131" s="5">
        <v>7.3899999999999993E-2</v>
      </c>
    </row>
    <row r="132" spans="1:9" x14ac:dyDescent="0.2">
      <c r="A132" s="3" t="s">
        <v>52</v>
      </c>
      <c r="B132" s="5">
        <v>0.12720000000000001</v>
      </c>
      <c r="C132" s="5">
        <v>0.12239999999999999</v>
      </c>
      <c r="D132" s="5">
        <v>0.1208</v>
      </c>
      <c r="E132" s="5">
        <v>0.12130000000000001</v>
      </c>
      <c r="F132" s="5">
        <v>0.1216</v>
      </c>
      <c r="G132" s="5">
        <v>0.1226</v>
      </c>
      <c r="H132" s="5">
        <v>0.12330000000000001</v>
      </c>
      <c r="I132" s="5">
        <v>0.1215</v>
      </c>
    </row>
    <row r="133" spans="1:9" x14ac:dyDescent="0.2">
      <c r="A133" s="2" t="s">
        <v>7</v>
      </c>
      <c r="B133" s="5">
        <v>0</v>
      </c>
      <c r="C133" s="5">
        <v>0</v>
      </c>
      <c r="D133" s="5">
        <v>0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</row>
    <row r="134" spans="1:9" x14ac:dyDescent="0.2">
      <c r="A134" s="2" t="s">
        <v>8</v>
      </c>
      <c r="B134" s="5">
        <v>1.24E-2</v>
      </c>
      <c r="C134" s="5">
        <v>1.14E-2</v>
      </c>
      <c r="D134" s="5">
        <v>1.0800000000000001E-2</v>
      </c>
      <c r="E134" s="5">
        <v>1.0800000000000001E-2</v>
      </c>
      <c r="F134" s="5">
        <v>1.0800000000000001E-2</v>
      </c>
      <c r="G134" s="5">
        <v>1.0699999999999999E-2</v>
      </c>
      <c r="H134" s="5">
        <v>1.0699999999999999E-2</v>
      </c>
      <c r="I134" s="5">
        <v>1.0699999999999999E-2</v>
      </c>
    </row>
    <row r="135" spans="1:9" x14ac:dyDescent="0.2">
      <c r="A135" s="2" t="s">
        <v>43</v>
      </c>
      <c r="B135" s="5">
        <v>3.4599999999999999E-2</v>
      </c>
      <c r="C135" s="5">
        <v>3.1699999999999999E-2</v>
      </c>
      <c r="D135" s="5">
        <v>3.0200000000000001E-2</v>
      </c>
      <c r="E135" s="5">
        <v>3.0200000000000001E-2</v>
      </c>
      <c r="F135" s="5">
        <v>3.0099999999999998E-2</v>
      </c>
      <c r="G135" s="5">
        <v>2.9899999999999999E-2</v>
      </c>
      <c r="H135" s="5">
        <v>2.98E-2</v>
      </c>
      <c r="I135" s="5">
        <v>2.98E-2</v>
      </c>
    </row>
    <row r="136" spans="1:9" x14ac:dyDescent="0.2">
      <c r="A136" s="2" t="s">
        <v>44</v>
      </c>
      <c r="B136" s="5">
        <v>3.4599999999999999E-2</v>
      </c>
      <c r="C136" s="5">
        <v>3.1699999999999999E-2</v>
      </c>
      <c r="D136" s="5">
        <v>3.0200000000000001E-2</v>
      </c>
      <c r="E136" s="5">
        <v>3.0200000000000001E-2</v>
      </c>
      <c r="F136" s="5">
        <v>3.0099999999999998E-2</v>
      </c>
      <c r="G136" s="5">
        <v>2.9899999999999999E-2</v>
      </c>
      <c r="H136" s="5">
        <v>2.98E-2</v>
      </c>
      <c r="I136" s="5">
        <v>2.98E-2</v>
      </c>
    </row>
    <row r="137" spans="1:9" x14ac:dyDescent="0.2">
      <c r="A137" s="2" t="s">
        <v>9</v>
      </c>
      <c r="B137" s="5">
        <v>2.07E-2</v>
      </c>
      <c r="C137" s="5">
        <v>1.9800000000000002E-2</v>
      </c>
      <c r="D137" s="5">
        <v>1.77E-2</v>
      </c>
      <c r="E137" s="5">
        <v>1.7399999999999999E-2</v>
      </c>
      <c r="F137" s="5">
        <v>1.7399999999999999E-2</v>
      </c>
      <c r="G137" s="5">
        <v>1.7100000000000001E-2</v>
      </c>
      <c r="H137" s="5">
        <v>1.6899999999999998E-2</v>
      </c>
      <c r="I137" s="5">
        <v>1.7100000000000001E-2</v>
      </c>
    </row>
    <row r="138" spans="1:9" x14ac:dyDescent="0.2">
      <c r="A138" s="2" t="s">
        <v>10</v>
      </c>
      <c r="B138" s="5">
        <v>0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 x14ac:dyDescent="0.2">
      <c r="A139" s="2" t="s">
        <v>11</v>
      </c>
      <c r="B139" s="5">
        <v>2.0000000000000001E-4</v>
      </c>
      <c r="C139" s="5">
        <v>2.0000000000000001E-4</v>
      </c>
      <c r="D139" s="5">
        <v>2.0000000000000001E-4</v>
      </c>
      <c r="E139" s="5">
        <v>2.0000000000000001E-4</v>
      </c>
      <c r="F139" s="5">
        <v>2.0000000000000001E-4</v>
      </c>
      <c r="G139" s="5">
        <v>2.0000000000000001E-4</v>
      </c>
      <c r="H139" s="5">
        <v>2.0000000000000001E-4</v>
      </c>
      <c r="I139" s="5">
        <v>2.0000000000000001E-4</v>
      </c>
    </row>
    <row r="140" spans="1:9" x14ac:dyDescent="0.2">
      <c r="A140" s="2" t="s">
        <v>45</v>
      </c>
      <c r="B140" s="5">
        <v>2.8999999999999998E-3</v>
      </c>
      <c r="C140" s="5">
        <v>2.8E-3</v>
      </c>
      <c r="D140" s="5">
        <v>2.8E-3</v>
      </c>
      <c r="E140" s="5">
        <v>2.8E-3</v>
      </c>
      <c r="F140" s="5">
        <v>2.8E-3</v>
      </c>
      <c r="G140" s="5">
        <v>2.8E-3</v>
      </c>
      <c r="H140" s="5">
        <v>2.8999999999999998E-3</v>
      </c>
      <c r="I140" s="5">
        <v>2.8E-3</v>
      </c>
    </row>
    <row r="141" spans="1:9" x14ac:dyDescent="0.2">
      <c r="A141" s="2" t="s">
        <v>4</v>
      </c>
      <c r="B141" s="5">
        <v>0.13819999999999999</v>
      </c>
      <c r="C141" s="5">
        <v>0.13619999999999999</v>
      </c>
      <c r="D141" s="5">
        <v>0.15210000000000001</v>
      </c>
      <c r="E141" s="5">
        <v>0.15509999999999999</v>
      </c>
      <c r="F141" s="5">
        <v>0.157</v>
      </c>
      <c r="G141" s="5">
        <v>0.16220000000000001</v>
      </c>
      <c r="H141" s="5">
        <v>0.1656</v>
      </c>
      <c r="I141" s="5">
        <v>0.1598</v>
      </c>
    </row>
    <row r="142" spans="1:9" x14ac:dyDescent="0.2">
      <c r="A142" s="2" t="s">
        <v>12</v>
      </c>
      <c r="B142" s="5">
        <v>6.0499999999999998E-2</v>
      </c>
      <c r="C142" s="5">
        <v>5.8799999999999998E-2</v>
      </c>
      <c r="D142" s="5">
        <v>6.3799999999999996E-2</v>
      </c>
      <c r="E142" s="5">
        <v>6.4899999999999999E-2</v>
      </c>
      <c r="F142" s="5">
        <v>6.5500000000000003E-2</v>
      </c>
      <c r="G142" s="5">
        <v>6.7100000000000007E-2</v>
      </c>
      <c r="H142" s="5">
        <v>6.8199999999999997E-2</v>
      </c>
      <c r="I142" s="5">
        <v>6.6299999999999998E-2</v>
      </c>
    </row>
    <row r="143" spans="1:9" x14ac:dyDescent="0.2">
      <c r="A143" s="2" t="s">
        <v>5</v>
      </c>
      <c r="B143" s="5">
        <v>1E-4</v>
      </c>
      <c r="C143" s="5">
        <v>0</v>
      </c>
      <c r="D143" s="5">
        <v>1E-4</v>
      </c>
      <c r="E143" s="5">
        <v>1E-4</v>
      </c>
      <c r="F143" s="5">
        <v>1E-4</v>
      </c>
      <c r="G143" s="5">
        <v>1E-4</v>
      </c>
      <c r="H143" s="5">
        <v>1E-4</v>
      </c>
      <c r="I143" s="5">
        <v>1E-4</v>
      </c>
    </row>
    <row r="144" spans="1:9" x14ac:dyDescent="0.2">
      <c r="A144" s="2" t="s">
        <v>13</v>
      </c>
      <c r="B144" s="5">
        <v>3.2000000000000002E-3</v>
      </c>
      <c r="C144" s="5">
        <v>3.2000000000000002E-3</v>
      </c>
      <c r="D144" s="5">
        <v>3.5000000000000001E-3</v>
      </c>
      <c r="E144" s="5">
        <v>3.5999999999999999E-3</v>
      </c>
      <c r="F144" s="5">
        <v>3.5999999999999999E-3</v>
      </c>
      <c r="G144" s="5">
        <v>3.7000000000000002E-3</v>
      </c>
      <c r="H144" s="5">
        <v>3.8E-3</v>
      </c>
      <c r="I144" s="5">
        <v>3.7000000000000002E-3</v>
      </c>
    </row>
    <row r="145" spans="1:9" x14ac:dyDescent="0.2">
      <c r="A145" s="2" t="s">
        <v>14</v>
      </c>
      <c r="B145" s="5">
        <v>2.0500000000000001E-2</v>
      </c>
      <c r="C145" s="5">
        <v>1.9900000000000001E-2</v>
      </c>
      <c r="D145" s="5">
        <v>2.1399999999999999E-2</v>
      </c>
      <c r="E145" s="5">
        <v>2.18E-2</v>
      </c>
      <c r="F145" s="5">
        <v>2.1999999999999999E-2</v>
      </c>
      <c r="G145" s="5">
        <v>2.2499999999999999E-2</v>
      </c>
      <c r="H145" s="5">
        <v>2.29E-2</v>
      </c>
      <c r="I145" s="5">
        <v>2.2200000000000001E-2</v>
      </c>
    </row>
    <row r="146" spans="1:9" x14ac:dyDescent="0.2">
      <c r="A146" s="3" t="s">
        <v>15</v>
      </c>
      <c r="B146" s="5">
        <v>5.8000000000001401E-3</v>
      </c>
      <c r="C146" s="5">
        <v>5.90000000000013E-3</v>
      </c>
      <c r="D146" s="5">
        <v>7.3999999999999604E-3</v>
      </c>
      <c r="E146" s="5">
        <v>7.5999999999999401E-3</v>
      </c>
      <c r="F146" s="5">
        <v>7.59999999999983E-3</v>
      </c>
      <c r="G146" s="5">
        <v>8.2999999999997503E-3</v>
      </c>
      <c r="H146" s="5">
        <v>8.4999999999998393E-3</v>
      </c>
      <c r="I146" s="5">
        <v>7.59999999999983E-3</v>
      </c>
    </row>
    <row r="147" spans="1:9" x14ac:dyDescent="0.2">
      <c r="A147" s="6" t="s">
        <v>30</v>
      </c>
      <c r="B147" s="7">
        <v>148.37</v>
      </c>
      <c r="C147" s="7">
        <v>151.99</v>
      </c>
      <c r="D147" s="7">
        <v>182.28</v>
      </c>
      <c r="E147" s="7">
        <v>190.88</v>
      </c>
      <c r="F147" s="7">
        <v>192.29</v>
      </c>
      <c r="G147" s="7">
        <v>203.3</v>
      </c>
      <c r="H147" s="7">
        <v>211.26</v>
      </c>
      <c r="I147" s="7">
        <v>198.19</v>
      </c>
    </row>
    <row r="151" spans="1:9" x14ac:dyDescent="0.2">
      <c r="A151" s="4" t="s">
        <v>37</v>
      </c>
      <c r="B151" s="1" t="s">
        <v>20</v>
      </c>
      <c r="C151" s="1" t="s">
        <v>16</v>
      </c>
      <c r="D151" s="1" t="s">
        <v>18</v>
      </c>
      <c r="E151" s="1" t="s">
        <v>28</v>
      </c>
      <c r="F151" s="1" t="s">
        <v>22</v>
      </c>
      <c r="G151" s="1" t="s">
        <v>24</v>
      </c>
      <c r="H151" s="1" t="s">
        <v>29</v>
      </c>
      <c r="I151" s="1" t="s">
        <v>26</v>
      </c>
    </row>
    <row r="152" spans="1:9" x14ac:dyDescent="0.2">
      <c r="A152" s="2" t="s">
        <v>6</v>
      </c>
      <c r="B152" s="5">
        <v>0.2641</v>
      </c>
      <c r="C152" s="5">
        <v>0.30159999999999998</v>
      </c>
      <c r="D152" s="5">
        <v>0.2616</v>
      </c>
      <c r="E152" s="5">
        <v>0.24940000000000001</v>
      </c>
      <c r="F152" s="5">
        <v>0.24629999999999999</v>
      </c>
      <c r="G152" s="5">
        <v>0.23050000000000001</v>
      </c>
      <c r="H152" s="5">
        <v>0.21959999999999999</v>
      </c>
      <c r="I152" s="5">
        <v>0.2397</v>
      </c>
    </row>
    <row r="153" spans="1:9" x14ac:dyDescent="0.2">
      <c r="A153" s="2" t="s">
        <v>0</v>
      </c>
      <c r="B153" s="5">
        <v>0.1356</v>
      </c>
      <c r="C153" s="5">
        <v>0.11899999999999999</v>
      </c>
      <c r="D153" s="5">
        <v>0.14710000000000001</v>
      </c>
      <c r="E153" s="5">
        <v>0.15279999999999999</v>
      </c>
      <c r="F153" s="5">
        <v>0.154</v>
      </c>
      <c r="G153" s="5">
        <v>0.1608</v>
      </c>
      <c r="H153" s="5">
        <v>0.1646</v>
      </c>
      <c r="I153" s="5">
        <v>0.1583</v>
      </c>
    </row>
    <row r="154" spans="1:9" x14ac:dyDescent="0.2">
      <c r="A154" s="2" t="s">
        <v>1</v>
      </c>
      <c r="B154" s="5">
        <v>0</v>
      </c>
      <c r="C154" s="5">
        <v>0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 x14ac:dyDescent="0.2">
      <c r="A155" s="2" t="s">
        <v>2</v>
      </c>
      <c r="B155" s="5">
        <v>8.2000000000000007E-3</v>
      </c>
      <c r="C155" s="5">
        <v>8.6E-3</v>
      </c>
      <c r="D155" s="5">
        <v>8.3000000000000001E-3</v>
      </c>
      <c r="E155" s="5">
        <v>8.2000000000000007E-3</v>
      </c>
      <c r="F155" s="5">
        <v>8.2000000000000007E-3</v>
      </c>
      <c r="G155" s="5">
        <v>8.0000000000000002E-3</v>
      </c>
      <c r="H155" s="5">
        <v>7.7999999999999996E-3</v>
      </c>
      <c r="I155" s="5">
        <v>8.0999999999999996E-3</v>
      </c>
    </row>
    <row r="156" spans="1:9" x14ac:dyDescent="0.2">
      <c r="A156" s="2" t="s">
        <v>3</v>
      </c>
      <c r="B156" s="5">
        <v>8.4699999999999998E-2</v>
      </c>
      <c r="C156" s="5">
        <v>7.8E-2</v>
      </c>
      <c r="D156" s="5">
        <v>7.1400000000000005E-2</v>
      </c>
      <c r="E156" s="5">
        <v>7.0599999999999996E-2</v>
      </c>
      <c r="F156" s="5">
        <v>7.0499999999999993E-2</v>
      </c>
      <c r="G156" s="5">
        <v>7.0400000000000004E-2</v>
      </c>
      <c r="H156" s="5">
        <v>7.17E-2</v>
      </c>
      <c r="I156" s="5">
        <v>7.0400000000000004E-2</v>
      </c>
    </row>
    <row r="157" spans="1:9" x14ac:dyDescent="0.2">
      <c r="A157" s="3" t="s">
        <v>52</v>
      </c>
      <c r="B157" s="5">
        <v>0.121</v>
      </c>
      <c r="C157" s="5">
        <v>0.1163</v>
      </c>
      <c r="D157" s="5">
        <v>0.1158</v>
      </c>
      <c r="E157" s="5">
        <v>0.1164</v>
      </c>
      <c r="F157" s="5">
        <v>0.11650000000000001</v>
      </c>
      <c r="G157" s="5">
        <v>0.1178</v>
      </c>
      <c r="H157" s="5">
        <v>0.1191</v>
      </c>
      <c r="I157" s="5">
        <v>0.1168</v>
      </c>
    </row>
    <row r="158" spans="1:9" x14ac:dyDescent="0.2">
      <c r="A158" s="2" t="s">
        <v>7</v>
      </c>
      <c r="B158" s="5">
        <v>0</v>
      </c>
      <c r="C158" s="5">
        <v>0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</row>
    <row r="159" spans="1:9" x14ac:dyDescent="0.2">
      <c r="A159" s="2" t="s">
        <v>8</v>
      </c>
      <c r="B159" s="5">
        <v>1.11E-2</v>
      </c>
      <c r="C159" s="5">
        <v>1.0200000000000001E-2</v>
      </c>
      <c r="D159" s="5">
        <v>9.7000000000000003E-3</v>
      </c>
      <c r="E159" s="5">
        <v>9.5999999999999992E-3</v>
      </c>
      <c r="F159" s="5">
        <v>9.5999999999999992E-3</v>
      </c>
      <c r="G159" s="5">
        <v>9.4999999999999998E-3</v>
      </c>
      <c r="H159" s="5">
        <v>9.4999999999999998E-3</v>
      </c>
      <c r="I159" s="5">
        <v>9.4999999999999998E-3</v>
      </c>
    </row>
    <row r="160" spans="1:9" x14ac:dyDescent="0.2">
      <c r="A160" s="2" t="s">
        <v>43</v>
      </c>
      <c r="B160" s="5">
        <v>3.1E-2</v>
      </c>
      <c r="C160" s="5">
        <v>2.8500000000000001E-2</v>
      </c>
      <c r="D160" s="5">
        <v>2.7099999999999999E-2</v>
      </c>
      <c r="E160" s="5">
        <v>2.69E-2</v>
      </c>
      <c r="F160" s="5">
        <v>2.6800000000000001E-2</v>
      </c>
      <c r="G160" s="5">
        <v>2.6700000000000002E-2</v>
      </c>
      <c r="H160" s="5">
        <v>2.6599999999999999E-2</v>
      </c>
      <c r="I160" s="5">
        <v>2.6599999999999999E-2</v>
      </c>
    </row>
    <row r="161" spans="1:9" x14ac:dyDescent="0.2">
      <c r="A161" s="2" t="s">
        <v>44</v>
      </c>
      <c r="B161" s="5">
        <v>3.1E-2</v>
      </c>
      <c r="C161" s="5">
        <v>2.8500000000000001E-2</v>
      </c>
      <c r="D161" s="5">
        <v>2.7099999999999999E-2</v>
      </c>
      <c r="E161" s="5">
        <v>2.69E-2</v>
      </c>
      <c r="F161" s="5">
        <v>2.6800000000000001E-2</v>
      </c>
      <c r="G161" s="5">
        <v>2.6700000000000002E-2</v>
      </c>
      <c r="H161" s="5">
        <v>2.6599999999999999E-2</v>
      </c>
      <c r="I161" s="5">
        <v>2.6599999999999999E-2</v>
      </c>
    </row>
    <row r="162" spans="1:9" x14ac:dyDescent="0.2">
      <c r="A162" s="2" t="s">
        <v>9</v>
      </c>
      <c r="B162" s="5">
        <v>1.6799999999999999E-2</v>
      </c>
      <c r="C162" s="5">
        <v>1.6199999999999999E-2</v>
      </c>
      <c r="D162" s="5">
        <v>1.4999999999999999E-2</v>
      </c>
      <c r="E162" s="5">
        <v>1.4800000000000001E-2</v>
      </c>
      <c r="F162" s="5">
        <v>1.4800000000000001E-2</v>
      </c>
      <c r="G162" s="5">
        <v>1.4800000000000001E-2</v>
      </c>
      <c r="H162" s="5">
        <v>1.49E-2</v>
      </c>
      <c r="I162" s="5">
        <v>1.47E-2</v>
      </c>
    </row>
    <row r="163" spans="1:9" x14ac:dyDescent="0.2">
      <c r="A163" s="2" t="s">
        <v>10</v>
      </c>
      <c r="B163" s="5">
        <v>0</v>
      </c>
      <c r="C163" s="5">
        <v>0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</row>
    <row r="164" spans="1:9" x14ac:dyDescent="0.2">
      <c r="A164" s="2" t="s">
        <v>11</v>
      </c>
      <c r="B164" s="5">
        <v>2.9999999999999997E-4</v>
      </c>
      <c r="C164" s="5">
        <v>2.9999999999999997E-4</v>
      </c>
      <c r="D164" s="5">
        <v>2.9999999999999997E-4</v>
      </c>
      <c r="E164" s="5">
        <v>2.0000000000000001E-4</v>
      </c>
      <c r="F164" s="5">
        <v>2.0000000000000001E-4</v>
      </c>
      <c r="G164" s="5">
        <v>2.0000000000000001E-4</v>
      </c>
      <c r="H164" s="5">
        <v>2.0000000000000001E-4</v>
      </c>
      <c r="I164" s="5">
        <v>2.0000000000000001E-4</v>
      </c>
    </row>
    <row r="165" spans="1:9" x14ac:dyDescent="0.2">
      <c r="A165" s="2" t="s">
        <v>45</v>
      </c>
      <c r="B165" s="5">
        <v>2.8999999999999998E-3</v>
      </c>
      <c r="C165" s="5">
        <v>2.7000000000000001E-3</v>
      </c>
      <c r="D165" s="5">
        <v>2.7000000000000001E-3</v>
      </c>
      <c r="E165" s="5">
        <v>2.7000000000000001E-3</v>
      </c>
      <c r="F165" s="5">
        <v>2.7000000000000001E-3</v>
      </c>
      <c r="G165" s="5">
        <v>2.7000000000000001E-3</v>
      </c>
      <c r="H165" s="5">
        <v>2.8E-3</v>
      </c>
      <c r="I165" s="5">
        <v>2.7000000000000001E-3</v>
      </c>
    </row>
    <row r="166" spans="1:9" x14ac:dyDescent="0.2">
      <c r="A166" s="2" t="s">
        <v>4</v>
      </c>
      <c r="B166" s="5">
        <v>0.16520000000000001</v>
      </c>
      <c r="C166" s="5">
        <v>0.1628</v>
      </c>
      <c r="D166" s="5">
        <v>0.1744</v>
      </c>
      <c r="E166" s="5">
        <v>0.17829999999999999</v>
      </c>
      <c r="F166" s="5">
        <v>0.17949999999999999</v>
      </c>
      <c r="G166" s="5">
        <v>0.18379999999999999</v>
      </c>
      <c r="H166" s="5">
        <v>0.18579999999999999</v>
      </c>
      <c r="I166" s="5">
        <v>0.18060000000000001</v>
      </c>
    </row>
    <row r="167" spans="1:9" x14ac:dyDescent="0.2">
      <c r="A167" s="2" t="s">
        <v>12</v>
      </c>
      <c r="B167" s="5">
        <v>6.0299999999999999E-2</v>
      </c>
      <c r="C167" s="5">
        <v>5.9200000000000003E-2</v>
      </c>
      <c r="D167" s="5">
        <v>6.25E-2</v>
      </c>
      <c r="E167" s="5">
        <v>6.3700000000000007E-2</v>
      </c>
      <c r="F167" s="5">
        <v>6.4100000000000004E-2</v>
      </c>
      <c r="G167" s="5">
        <v>6.54E-2</v>
      </c>
      <c r="H167" s="5">
        <v>6.59E-2</v>
      </c>
      <c r="I167" s="5">
        <v>6.4299999999999996E-2</v>
      </c>
    </row>
    <row r="168" spans="1:9" x14ac:dyDescent="0.2">
      <c r="A168" s="2" t="s">
        <v>5</v>
      </c>
      <c r="B168" s="5">
        <v>5.0000000000000001E-4</v>
      </c>
      <c r="C168" s="5">
        <v>4.0000000000000002E-4</v>
      </c>
      <c r="D168" s="5">
        <v>5.0000000000000001E-4</v>
      </c>
      <c r="E168" s="5">
        <v>5.0000000000000001E-4</v>
      </c>
      <c r="F168" s="5">
        <v>5.0000000000000001E-4</v>
      </c>
      <c r="G168" s="5">
        <v>5.9999999999999995E-4</v>
      </c>
      <c r="H168" s="5">
        <v>5.9999999999999995E-4</v>
      </c>
      <c r="I168" s="5">
        <v>5.9999999999999995E-4</v>
      </c>
    </row>
    <row r="169" spans="1:9" x14ac:dyDescent="0.2">
      <c r="A169" s="2" t="s">
        <v>13</v>
      </c>
      <c r="B169" s="5">
        <v>3.5000000000000001E-3</v>
      </c>
      <c r="C169" s="5">
        <v>3.5000000000000001E-3</v>
      </c>
      <c r="D169" s="5">
        <v>3.7000000000000002E-3</v>
      </c>
      <c r="E169" s="5">
        <v>3.8E-3</v>
      </c>
      <c r="F169" s="5">
        <v>3.8E-3</v>
      </c>
      <c r="G169" s="5">
        <v>3.8999999999999998E-3</v>
      </c>
      <c r="H169" s="5">
        <v>3.8999999999999998E-3</v>
      </c>
      <c r="I169" s="5">
        <v>3.8E-3</v>
      </c>
    </row>
    <row r="170" spans="1:9" x14ac:dyDescent="0.2">
      <c r="A170" s="2" t="s">
        <v>14</v>
      </c>
      <c r="B170" s="5">
        <v>2.69E-2</v>
      </c>
      <c r="C170" s="5">
        <v>2.63E-2</v>
      </c>
      <c r="D170" s="5">
        <v>2.81E-2</v>
      </c>
      <c r="E170" s="5">
        <v>2.86E-2</v>
      </c>
      <c r="F170" s="5">
        <v>2.87E-2</v>
      </c>
      <c r="G170" s="5">
        <v>2.93E-2</v>
      </c>
      <c r="H170" s="5">
        <v>2.9700000000000001E-2</v>
      </c>
      <c r="I170" s="5">
        <v>2.8899999999999999E-2</v>
      </c>
    </row>
    <row r="171" spans="1:9" x14ac:dyDescent="0.2">
      <c r="A171" s="3" t="s">
        <v>15</v>
      </c>
      <c r="B171" s="5">
        <v>3.6900000000000002E-2</v>
      </c>
      <c r="C171" s="5">
        <v>3.7900000000000302E-2</v>
      </c>
      <c r="D171" s="5">
        <v>4.4699999999999997E-2</v>
      </c>
      <c r="E171" s="5">
        <v>4.6600000000000003E-2</v>
      </c>
      <c r="F171" s="5">
        <v>4.6999999999999799E-2</v>
      </c>
      <c r="G171" s="5">
        <v>4.8900000000000103E-2</v>
      </c>
      <c r="H171" s="5">
        <v>5.0700000000000203E-2</v>
      </c>
      <c r="I171" s="5">
        <v>4.8199999999999903E-2</v>
      </c>
    </row>
    <row r="172" spans="1:9" x14ac:dyDescent="0.2">
      <c r="A172" s="6" t="s">
        <v>30</v>
      </c>
      <c r="B172" s="7">
        <v>136.66</v>
      </c>
      <c r="C172" s="7">
        <v>140.77000000000001</v>
      </c>
      <c r="D172" s="7">
        <v>165.02</v>
      </c>
      <c r="E172" s="7">
        <v>171.27</v>
      </c>
      <c r="F172" s="7">
        <v>172.62</v>
      </c>
      <c r="G172" s="7">
        <v>181</v>
      </c>
      <c r="H172" s="7">
        <v>186.69</v>
      </c>
      <c r="I172" s="7">
        <v>177.34</v>
      </c>
    </row>
    <row r="176" spans="1:9" x14ac:dyDescent="0.2">
      <c r="A176" s="4" t="s">
        <v>38</v>
      </c>
      <c r="B176" s="1" t="s">
        <v>20</v>
      </c>
      <c r="C176" s="1" t="s">
        <v>16</v>
      </c>
      <c r="D176" s="1" t="s">
        <v>18</v>
      </c>
      <c r="E176" s="1" t="s">
        <v>28</v>
      </c>
      <c r="F176" s="1" t="s">
        <v>22</v>
      </c>
      <c r="G176" s="1" t="s">
        <v>24</v>
      </c>
      <c r="H176" s="1" t="s">
        <v>29</v>
      </c>
      <c r="I176" s="1" t="s">
        <v>26</v>
      </c>
    </row>
    <row r="177" spans="1:9" x14ac:dyDescent="0.2">
      <c r="A177" s="2" t="s">
        <v>6</v>
      </c>
      <c r="B177" s="5">
        <v>0.27139999999999997</v>
      </c>
      <c r="C177" s="5">
        <v>0.3085</v>
      </c>
      <c r="D177" s="5">
        <v>0.2757</v>
      </c>
      <c r="E177" s="5">
        <v>0.2631</v>
      </c>
      <c r="F177" s="5">
        <v>0.26</v>
      </c>
      <c r="G177" s="5">
        <v>0.24460000000000001</v>
      </c>
      <c r="H177" s="5">
        <v>0.2339</v>
      </c>
      <c r="I177" s="5">
        <v>0.25419999999999998</v>
      </c>
    </row>
    <row r="178" spans="1:9" x14ac:dyDescent="0.2">
      <c r="A178" s="2" t="s">
        <v>0</v>
      </c>
      <c r="B178" s="5">
        <v>0.13930000000000001</v>
      </c>
      <c r="C178" s="5">
        <v>0.1216</v>
      </c>
      <c r="D178" s="5">
        <v>0.15490000000000001</v>
      </c>
      <c r="E178" s="5">
        <v>0.16109999999999999</v>
      </c>
      <c r="F178" s="5">
        <v>0.16239999999999999</v>
      </c>
      <c r="G178" s="5">
        <v>0.1704</v>
      </c>
      <c r="H178" s="5">
        <v>0.17530000000000001</v>
      </c>
      <c r="I178" s="5">
        <v>0.16769999999999999</v>
      </c>
    </row>
    <row r="179" spans="1:9" x14ac:dyDescent="0.2">
      <c r="A179" s="2" t="s">
        <v>1</v>
      </c>
      <c r="B179" s="5">
        <v>0</v>
      </c>
      <c r="C179" s="5">
        <v>0</v>
      </c>
      <c r="D179" s="5">
        <v>0</v>
      </c>
      <c r="E179" s="5">
        <v>0</v>
      </c>
      <c r="F179" s="5">
        <v>0</v>
      </c>
      <c r="G179" s="5">
        <v>0</v>
      </c>
      <c r="H179" s="5">
        <v>0</v>
      </c>
      <c r="I179" s="5">
        <v>0</v>
      </c>
    </row>
    <row r="180" spans="1:9" x14ac:dyDescent="0.2">
      <c r="A180" s="2" t="s">
        <v>2</v>
      </c>
      <c r="B180" s="5">
        <v>8.3999999999999995E-3</v>
      </c>
      <c r="C180" s="5">
        <v>8.8000000000000005E-3</v>
      </c>
      <c r="D180" s="5">
        <v>8.8000000000000005E-3</v>
      </c>
      <c r="E180" s="5">
        <v>8.6999999999999994E-3</v>
      </c>
      <c r="F180" s="5">
        <v>8.6E-3</v>
      </c>
      <c r="G180" s="5">
        <v>8.5000000000000006E-3</v>
      </c>
      <c r="H180" s="5">
        <v>8.3999999999999995E-3</v>
      </c>
      <c r="I180" s="5">
        <v>8.6E-3</v>
      </c>
    </row>
    <row r="181" spans="1:9" x14ac:dyDescent="0.2">
      <c r="A181" s="2" t="s">
        <v>3</v>
      </c>
      <c r="B181" s="5">
        <v>0.08</v>
      </c>
      <c r="C181" s="5">
        <v>7.6200000000000004E-2</v>
      </c>
      <c r="D181" s="5">
        <v>6.8199999999999997E-2</v>
      </c>
      <c r="E181" s="5">
        <v>6.7100000000000007E-2</v>
      </c>
      <c r="F181" s="5">
        <v>6.6900000000000001E-2</v>
      </c>
      <c r="G181" s="5">
        <v>6.5500000000000003E-2</v>
      </c>
      <c r="H181" s="5">
        <v>6.4600000000000005E-2</v>
      </c>
      <c r="I181" s="5">
        <v>6.5500000000000003E-2</v>
      </c>
    </row>
    <row r="182" spans="1:9" x14ac:dyDescent="0.2">
      <c r="A182" s="3" t="s">
        <v>52</v>
      </c>
      <c r="B182" s="5">
        <v>0.12659999999999999</v>
      </c>
      <c r="C182" s="5">
        <v>0.1215</v>
      </c>
      <c r="D182" s="5">
        <v>0.12479999999999999</v>
      </c>
      <c r="E182" s="5">
        <v>0.12570000000000001</v>
      </c>
      <c r="F182" s="5">
        <v>0.12590000000000001</v>
      </c>
      <c r="G182" s="5">
        <v>0.12709999999999999</v>
      </c>
      <c r="H182" s="5">
        <v>0.12790000000000001</v>
      </c>
      <c r="I182" s="5">
        <v>0.1258</v>
      </c>
    </row>
    <row r="183" spans="1:9" x14ac:dyDescent="0.2">
      <c r="A183" s="2" t="s">
        <v>7</v>
      </c>
      <c r="B183" s="5">
        <v>0</v>
      </c>
      <c r="C183" s="5">
        <v>0</v>
      </c>
      <c r="D183" s="5">
        <v>0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</row>
    <row r="184" spans="1:9" x14ac:dyDescent="0.2">
      <c r="A184" s="2" t="s">
        <v>8</v>
      </c>
      <c r="B184" s="5">
        <v>1.14E-2</v>
      </c>
      <c r="C184" s="5">
        <v>1.04E-2</v>
      </c>
      <c r="D184" s="5">
        <v>1.0200000000000001E-2</v>
      </c>
      <c r="E184" s="5">
        <v>1.0200000000000001E-2</v>
      </c>
      <c r="F184" s="5">
        <v>1.01E-2</v>
      </c>
      <c r="G184" s="5">
        <v>1.01E-2</v>
      </c>
      <c r="H184" s="5">
        <v>0.01</v>
      </c>
      <c r="I184" s="5">
        <v>1.01E-2</v>
      </c>
    </row>
    <row r="185" spans="1:9" x14ac:dyDescent="0.2">
      <c r="A185" s="2" t="s">
        <v>43</v>
      </c>
      <c r="B185" s="5">
        <v>3.1800000000000002E-2</v>
      </c>
      <c r="C185" s="5">
        <v>2.9100000000000001E-2</v>
      </c>
      <c r="D185" s="5">
        <v>2.8500000000000001E-2</v>
      </c>
      <c r="E185" s="5">
        <v>2.8400000000000002E-2</v>
      </c>
      <c r="F185" s="5">
        <v>2.8299999999999999E-2</v>
      </c>
      <c r="G185" s="5">
        <v>2.81E-2</v>
      </c>
      <c r="H185" s="5">
        <v>2.8000000000000001E-2</v>
      </c>
      <c r="I185" s="5">
        <v>2.81E-2</v>
      </c>
    </row>
    <row r="186" spans="1:9" x14ac:dyDescent="0.2">
      <c r="A186" s="2" t="s">
        <v>44</v>
      </c>
      <c r="B186" s="5">
        <v>3.1800000000000002E-2</v>
      </c>
      <c r="C186" s="5">
        <v>2.9100000000000001E-2</v>
      </c>
      <c r="D186" s="5">
        <v>2.8500000000000001E-2</v>
      </c>
      <c r="E186" s="5">
        <v>2.8400000000000002E-2</v>
      </c>
      <c r="F186" s="5">
        <v>2.8299999999999999E-2</v>
      </c>
      <c r="G186" s="5">
        <v>2.81E-2</v>
      </c>
      <c r="H186" s="5">
        <v>2.8000000000000001E-2</v>
      </c>
      <c r="I186" s="5">
        <v>2.81E-2</v>
      </c>
    </row>
    <row r="187" spans="1:9" x14ac:dyDescent="0.2">
      <c r="A187" s="2" t="s">
        <v>9</v>
      </c>
      <c r="B187" s="5">
        <v>1.72E-2</v>
      </c>
      <c r="C187" s="5">
        <v>1.6400000000000001E-2</v>
      </c>
      <c r="D187" s="5">
        <v>1.5599999999999999E-2</v>
      </c>
      <c r="E187" s="5">
        <v>1.55E-2</v>
      </c>
      <c r="F187" s="5">
        <v>1.55E-2</v>
      </c>
      <c r="G187" s="5">
        <v>1.5299999999999999E-2</v>
      </c>
      <c r="H187" s="5">
        <v>1.52E-2</v>
      </c>
      <c r="I187" s="5">
        <v>1.52E-2</v>
      </c>
    </row>
    <row r="188" spans="1:9" x14ac:dyDescent="0.2">
      <c r="A188" s="2" t="s">
        <v>10</v>
      </c>
      <c r="B188" s="5">
        <v>0</v>
      </c>
      <c r="C188" s="5">
        <v>0</v>
      </c>
      <c r="D188" s="5">
        <v>0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</row>
    <row r="189" spans="1:9" x14ac:dyDescent="0.2">
      <c r="A189" s="2" t="s">
        <v>11</v>
      </c>
      <c r="B189" s="5">
        <v>2.0000000000000001E-4</v>
      </c>
      <c r="C189" s="5">
        <v>2.0000000000000001E-4</v>
      </c>
      <c r="D189" s="5">
        <v>2.0000000000000001E-4</v>
      </c>
      <c r="E189" s="5">
        <v>2.0000000000000001E-4</v>
      </c>
      <c r="F189" s="5">
        <v>2.0000000000000001E-4</v>
      </c>
      <c r="G189" s="5">
        <v>2.0000000000000001E-4</v>
      </c>
      <c r="H189" s="5">
        <v>2.0000000000000001E-4</v>
      </c>
      <c r="I189" s="5">
        <v>2.0000000000000001E-4</v>
      </c>
    </row>
    <row r="190" spans="1:9" x14ac:dyDescent="0.2">
      <c r="A190" s="2" t="s">
        <v>45</v>
      </c>
      <c r="B190" s="5">
        <v>3.0000000000000001E-3</v>
      </c>
      <c r="C190" s="5">
        <v>2.7000000000000001E-3</v>
      </c>
      <c r="D190" s="5">
        <v>2.8E-3</v>
      </c>
      <c r="E190" s="5">
        <v>2.8E-3</v>
      </c>
      <c r="F190" s="5">
        <v>2.8E-3</v>
      </c>
      <c r="G190" s="5">
        <v>2.8E-3</v>
      </c>
      <c r="H190" s="5">
        <v>2.8E-3</v>
      </c>
      <c r="I190" s="5">
        <v>2.8E-3</v>
      </c>
    </row>
    <row r="191" spans="1:9" x14ac:dyDescent="0.2">
      <c r="A191" s="2" t="s">
        <v>4</v>
      </c>
      <c r="B191" s="5">
        <v>0.16819999999999999</v>
      </c>
      <c r="C191" s="5">
        <v>0.1661</v>
      </c>
      <c r="D191" s="5">
        <v>0.15920000000000001</v>
      </c>
      <c r="E191" s="5">
        <v>0.16320000000000001</v>
      </c>
      <c r="F191" s="5">
        <v>0.16439999999999999</v>
      </c>
      <c r="G191" s="5">
        <v>0.16880000000000001</v>
      </c>
      <c r="H191" s="5">
        <v>0.17230000000000001</v>
      </c>
      <c r="I191" s="5">
        <v>0.1656</v>
      </c>
    </row>
    <row r="192" spans="1:9" x14ac:dyDescent="0.2">
      <c r="A192" s="2" t="s">
        <v>12</v>
      </c>
      <c r="B192" s="5">
        <v>5.6599999999999998E-2</v>
      </c>
      <c r="C192" s="5">
        <v>5.5300000000000002E-2</v>
      </c>
      <c r="D192" s="5">
        <v>6.0299999999999999E-2</v>
      </c>
      <c r="E192" s="5">
        <v>6.1499999999999999E-2</v>
      </c>
      <c r="F192" s="5">
        <v>6.1899999999999997E-2</v>
      </c>
      <c r="G192" s="5">
        <v>6.3299999999999995E-2</v>
      </c>
      <c r="H192" s="5">
        <v>6.4399999999999999E-2</v>
      </c>
      <c r="I192" s="5">
        <v>6.2199999999999998E-2</v>
      </c>
    </row>
    <row r="193" spans="1:9" x14ac:dyDescent="0.2">
      <c r="A193" s="2" t="s">
        <v>5</v>
      </c>
      <c r="B193" s="5">
        <v>2.9999999999999997E-4</v>
      </c>
      <c r="C193" s="5">
        <v>2.0000000000000001E-4</v>
      </c>
      <c r="D193" s="5">
        <v>2.9999999999999997E-4</v>
      </c>
      <c r="E193" s="5">
        <v>2.9999999999999997E-4</v>
      </c>
      <c r="F193" s="5">
        <v>2.9999999999999997E-4</v>
      </c>
      <c r="G193" s="5">
        <v>2.9999999999999997E-4</v>
      </c>
      <c r="H193" s="5">
        <v>2.9999999999999997E-4</v>
      </c>
      <c r="I193" s="5">
        <v>2.9999999999999997E-4</v>
      </c>
    </row>
    <row r="194" spans="1:9" x14ac:dyDescent="0.2">
      <c r="A194" s="2" t="s">
        <v>13</v>
      </c>
      <c r="B194" s="5">
        <v>3.3E-3</v>
      </c>
      <c r="C194" s="5">
        <v>3.2000000000000002E-3</v>
      </c>
      <c r="D194" s="5">
        <v>3.5000000000000001E-3</v>
      </c>
      <c r="E194" s="5">
        <v>3.5999999999999999E-3</v>
      </c>
      <c r="F194" s="5">
        <v>3.7000000000000002E-3</v>
      </c>
      <c r="G194" s="5">
        <v>3.8E-3</v>
      </c>
      <c r="H194" s="5">
        <v>3.8E-3</v>
      </c>
      <c r="I194" s="5">
        <v>3.7000000000000002E-3</v>
      </c>
    </row>
    <row r="195" spans="1:9" x14ac:dyDescent="0.2">
      <c r="A195" s="2" t="s">
        <v>14</v>
      </c>
      <c r="B195" s="5">
        <v>2.3599999999999999E-2</v>
      </c>
      <c r="C195" s="5">
        <v>2.3E-2</v>
      </c>
      <c r="D195" s="5">
        <v>2.52E-2</v>
      </c>
      <c r="E195" s="5">
        <v>2.5700000000000001E-2</v>
      </c>
      <c r="F195" s="5">
        <v>2.58E-2</v>
      </c>
      <c r="G195" s="5">
        <v>2.64E-2</v>
      </c>
      <c r="H195" s="5">
        <v>2.69E-2</v>
      </c>
      <c r="I195" s="5">
        <v>2.5999999999999999E-2</v>
      </c>
    </row>
    <row r="196" spans="1:9" x14ac:dyDescent="0.2">
      <c r="A196" s="3" t="s">
        <v>15</v>
      </c>
      <c r="B196" s="5">
        <v>2.6900000000000101E-2</v>
      </c>
      <c r="C196" s="5">
        <v>2.7699999999999898E-2</v>
      </c>
      <c r="D196" s="5">
        <v>3.3300000000000197E-2</v>
      </c>
      <c r="E196" s="5">
        <v>3.4500000000000003E-2</v>
      </c>
      <c r="F196" s="5">
        <v>3.49E-2</v>
      </c>
      <c r="G196" s="5">
        <v>3.6699999999999802E-2</v>
      </c>
      <c r="H196" s="5">
        <v>3.7999999999999798E-2</v>
      </c>
      <c r="I196" s="5">
        <v>3.5900000000000001E-2</v>
      </c>
    </row>
    <row r="197" spans="1:9" x14ac:dyDescent="0.2">
      <c r="A197" s="6" t="s">
        <v>30</v>
      </c>
      <c r="B197" s="7">
        <v>140.47999999999999</v>
      </c>
      <c r="C197" s="7">
        <v>144</v>
      </c>
      <c r="D197" s="7">
        <v>173.9</v>
      </c>
      <c r="E197" s="7">
        <v>180.7</v>
      </c>
      <c r="F197" s="7">
        <v>182.16</v>
      </c>
      <c r="G197" s="7">
        <v>191.93</v>
      </c>
      <c r="H197" s="7">
        <v>198.64</v>
      </c>
      <c r="I197" s="7">
        <v>187.96</v>
      </c>
    </row>
    <row r="201" spans="1:9" x14ac:dyDescent="0.2">
      <c r="A201" s="4" t="s">
        <v>39</v>
      </c>
      <c r="B201" s="1" t="s">
        <v>20</v>
      </c>
      <c r="C201" s="1" t="s">
        <v>16</v>
      </c>
      <c r="D201" s="1" t="s">
        <v>18</v>
      </c>
      <c r="E201" s="1" t="s">
        <v>28</v>
      </c>
      <c r="F201" s="1" t="s">
        <v>22</v>
      </c>
      <c r="G201" s="1" t="s">
        <v>24</v>
      </c>
      <c r="H201" s="1" t="s">
        <v>29</v>
      </c>
      <c r="I201" s="1" t="s">
        <v>26</v>
      </c>
    </row>
    <row r="202" spans="1:9" x14ac:dyDescent="0.2">
      <c r="A202" s="2" t="s">
        <v>6</v>
      </c>
      <c r="B202" s="5">
        <v>0.25169999999999998</v>
      </c>
      <c r="C202" s="5">
        <v>0.28560000000000002</v>
      </c>
      <c r="D202" s="5">
        <v>0.24790000000000001</v>
      </c>
      <c r="E202" s="5">
        <v>0.2366</v>
      </c>
      <c r="F202" s="5">
        <v>0.2334</v>
      </c>
      <c r="G202" s="5">
        <v>0.2195</v>
      </c>
      <c r="H202" s="5">
        <v>0.2089</v>
      </c>
      <c r="I202" s="5">
        <v>0.22750000000000001</v>
      </c>
    </row>
    <row r="203" spans="1:9" x14ac:dyDescent="0.2">
      <c r="A203" s="2" t="s">
        <v>0</v>
      </c>
      <c r="B203" s="5">
        <v>0.13039999999999999</v>
      </c>
      <c r="C203" s="5">
        <v>0.1137</v>
      </c>
      <c r="D203" s="5">
        <v>0.1409</v>
      </c>
      <c r="E203" s="5">
        <v>0.14649999999999999</v>
      </c>
      <c r="F203" s="5">
        <v>0.1474</v>
      </c>
      <c r="G203" s="5">
        <v>0.1547</v>
      </c>
      <c r="H203" s="5">
        <v>0.15840000000000001</v>
      </c>
      <c r="I203" s="5">
        <v>0.15190000000000001</v>
      </c>
    </row>
    <row r="204" spans="1:9" x14ac:dyDescent="0.2">
      <c r="A204" s="2" t="s">
        <v>1</v>
      </c>
      <c r="B204" s="5">
        <v>0</v>
      </c>
      <c r="C204" s="5">
        <v>0</v>
      </c>
      <c r="D204" s="5">
        <v>0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</row>
    <row r="205" spans="1:9" x14ac:dyDescent="0.2">
      <c r="A205" s="2" t="s">
        <v>2</v>
      </c>
      <c r="B205" s="5">
        <v>7.7999999999999996E-3</v>
      </c>
      <c r="C205" s="5">
        <v>8.0999999999999996E-3</v>
      </c>
      <c r="D205" s="5">
        <v>7.9000000000000008E-3</v>
      </c>
      <c r="E205" s="5">
        <v>7.7999999999999996E-3</v>
      </c>
      <c r="F205" s="5">
        <v>7.7999999999999996E-3</v>
      </c>
      <c r="G205" s="5">
        <v>7.6E-3</v>
      </c>
      <c r="H205" s="5">
        <v>7.4999999999999997E-3</v>
      </c>
      <c r="I205" s="5">
        <v>7.7000000000000002E-3</v>
      </c>
    </row>
    <row r="206" spans="1:9" x14ac:dyDescent="0.2">
      <c r="A206" s="2" t="s">
        <v>3</v>
      </c>
      <c r="B206" s="5">
        <v>9.6500000000000002E-2</v>
      </c>
      <c r="C206" s="5">
        <v>9.2899999999999996E-2</v>
      </c>
      <c r="D206" s="5">
        <v>8.3799999999999999E-2</v>
      </c>
      <c r="E206" s="5">
        <v>8.3199999999999996E-2</v>
      </c>
      <c r="F206" s="5">
        <v>8.3099999999999993E-2</v>
      </c>
      <c r="G206" s="5">
        <v>8.2600000000000007E-2</v>
      </c>
      <c r="H206" s="5">
        <v>8.2400000000000001E-2</v>
      </c>
      <c r="I206" s="5">
        <v>8.2299999999999998E-2</v>
      </c>
    </row>
    <row r="207" spans="1:9" x14ac:dyDescent="0.2">
      <c r="A207" s="3" t="s">
        <v>52</v>
      </c>
      <c r="B207" s="5">
        <v>0.13109999999999999</v>
      </c>
      <c r="C207" s="5">
        <v>0.1273</v>
      </c>
      <c r="D207" s="5">
        <v>0.127</v>
      </c>
      <c r="E207" s="5">
        <v>0.1278</v>
      </c>
      <c r="F207" s="5">
        <v>0.12820000000000001</v>
      </c>
      <c r="G207" s="5">
        <v>0.12909999999999999</v>
      </c>
      <c r="H207" s="5">
        <v>0.13020000000000001</v>
      </c>
      <c r="I207" s="5">
        <v>0.12809999999999999</v>
      </c>
    </row>
    <row r="208" spans="1:9" x14ac:dyDescent="0.2">
      <c r="A208" s="2" t="s">
        <v>7</v>
      </c>
      <c r="B208" s="5">
        <v>0</v>
      </c>
      <c r="C208" s="5">
        <v>0</v>
      </c>
      <c r="D208" s="5">
        <v>0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</row>
    <row r="209" spans="1:9" x14ac:dyDescent="0.2">
      <c r="A209" s="2" t="s">
        <v>8</v>
      </c>
      <c r="B209" s="5">
        <v>1.0800000000000001E-2</v>
      </c>
      <c r="C209" s="5">
        <v>9.7999999999999997E-3</v>
      </c>
      <c r="D209" s="5">
        <v>9.2999999999999992E-3</v>
      </c>
      <c r="E209" s="5">
        <v>9.1999999999999998E-3</v>
      </c>
      <c r="F209" s="5">
        <v>9.1999999999999998E-3</v>
      </c>
      <c r="G209" s="5">
        <v>9.1000000000000004E-3</v>
      </c>
      <c r="H209" s="5">
        <v>8.9999999999999993E-3</v>
      </c>
      <c r="I209" s="5">
        <v>9.1000000000000004E-3</v>
      </c>
    </row>
    <row r="210" spans="1:9" x14ac:dyDescent="0.2">
      <c r="A210" s="2" t="s">
        <v>43</v>
      </c>
      <c r="B210" s="5">
        <v>0.03</v>
      </c>
      <c r="C210" s="5">
        <v>2.75E-2</v>
      </c>
      <c r="D210" s="5">
        <v>2.58E-2</v>
      </c>
      <c r="E210" s="5">
        <v>2.5700000000000001E-2</v>
      </c>
      <c r="F210" s="5">
        <v>2.5600000000000001E-2</v>
      </c>
      <c r="G210" s="5">
        <v>2.5399999999999999E-2</v>
      </c>
      <c r="H210" s="5">
        <v>2.52E-2</v>
      </c>
      <c r="I210" s="5">
        <v>2.53E-2</v>
      </c>
    </row>
    <row r="211" spans="1:9" x14ac:dyDescent="0.2">
      <c r="A211" s="2" t="s">
        <v>44</v>
      </c>
      <c r="B211" s="5">
        <v>0.03</v>
      </c>
      <c r="C211" s="5">
        <v>2.75E-2</v>
      </c>
      <c r="D211" s="5">
        <v>2.58E-2</v>
      </c>
      <c r="E211" s="5">
        <v>2.5700000000000001E-2</v>
      </c>
      <c r="F211" s="5">
        <v>2.5600000000000001E-2</v>
      </c>
      <c r="G211" s="5">
        <v>2.5399999999999999E-2</v>
      </c>
      <c r="H211" s="5">
        <v>2.52E-2</v>
      </c>
      <c r="I211" s="5">
        <v>2.53E-2</v>
      </c>
    </row>
    <row r="212" spans="1:9" x14ac:dyDescent="0.2">
      <c r="A212" s="2" t="s">
        <v>9</v>
      </c>
      <c r="B212" s="5">
        <v>1.8800000000000001E-2</v>
      </c>
      <c r="C212" s="5">
        <v>1.8100000000000002E-2</v>
      </c>
      <c r="D212" s="5">
        <v>1.6400000000000001E-2</v>
      </c>
      <c r="E212" s="5">
        <v>1.6299999999999999E-2</v>
      </c>
      <c r="F212" s="5">
        <v>1.6299999999999999E-2</v>
      </c>
      <c r="G212" s="5">
        <v>1.61E-2</v>
      </c>
      <c r="H212" s="5">
        <v>1.6E-2</v>
      </c>
      <c r="I212" s="5">
        <v>1.61E-2</v>
      </c>
    </row>
    <row r="213" spans="1:9" x14ac:dyDescent="0.2">
      <c r="A213" s="2" t="s">
        <v>10</v>
      </c>
      <c r="B213" s="5">
        <v>0</v>
      </c>
      <c r="C213" s="5">
        <v>0</v>
      </c>
      <c r="D213" s="5">
        <v>0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</row>
    <row r="214" spans="1:9" x14ac:dyDescent="0.2">
      <c r="A214" s="2" t="s">
        <v>11</v>
      </c>
      <c r="B214" s="5">
        <v>2.9999999999999997E-4</v>
      </c>
      <c r="C214" s="5">
        <v>2.9999999999999997E-4</v>
      </c>
      <c r="D214" s="5">
        <v>2.9999999999999997E-4</v>
      </c>
      <c r="E214" s="5">
        <v>2.9999999999999997E-4</v>
      </c>
      <c r="F214" s="5">
        <v>2.9999999999999997E-4</v>
      </c>
      <c r="G214" s="5">
        <v>2.9999999999999997E-4</v>
      </c>
      <c r="H214" s="5">
        <v>2.9999999999999997E-4</v>
      </c>
      <c r="I214" s="5">
        <v>2.9999999999999997E-4</v>
      </c>
    </row>
    <row r="215" spans="1:9" x14ac:dyDescent="0.2">
      <c r="A215" s="2" t="s">
        <v>45</v>
      </c>
      <c r="B215" s="5">
        <v>2.7000000000000001E-3</v>
      </c>
      <c r="C215" s="5">
        <v>2.5000000000000001E-3</v>
      </c>
      <c r="D215" s="5">
        <v>2.5000000000000001E-3</v>
      </c>
      <c r="E215" s="5">
        <v>2.5999999999999999E-3</v>
      </c>
      <c r="F215" s="5">
        <v>2.5999999999999999E-3</v>
      </c>
      <c r="G215" s="5">
        <v>2.5999999999999999E-3</v>
      </c>
      <c r="H215" s="5">
        <v>2.5999999999999999E-3</v>
      </c>
      <c r="I215" s="5">
        <v>2.5999999999999999E-3</v>
      </c>
    </row>
    <row r="216" spans="1:9" x14ac:dyDescent="0.2">
      <c r="A216" s="2" t="s">
        <v>4</v>
      </c>
      <c r="B216" s="5">
        <v>0.17699999999999999</v>
      </c>
      <c r="C216" s="5">
        <v>0.1757</v>
      </c>
      <c r="D216" s="5">
        <v>0.19259999999999999</v>
      </c>
      <c r="E216" s="5">
        <v>0.19639999999999999</v>
      </c>
      <c r="F216" s="5">
        <v>0.1981</v>
      </c>
      <c r="G216" s="5">
        <v>0.20230000000000001</v>
      </c>
      <c r="H216" s="5">
        <v>0.20699999999999999</v>
      </c>
      <c r="I216" s="5">
        <v>0.2001</v>
      </c>
    </row>
    <row r="217" spans="1:9" x14ac:dyDescent="0.2">
      <c r="A217" s="2" t="s">
        <v>12</v>
      </c>
      <c r="B217" s="5">
        <v>6.9599999999999995E-2</v>
      </c>
      <c r="C217" s="5">
        <v>6.8099999999999994E-2</v>
      </c>
      <c r="D217" s="5">
        <v>7.2499999999999995E-2</v>
      </c>
      <c r="E217" s="5">
        <v>7.3499999999999996E-2</v>
      </c>
      <c r="F217" s="5">
        <v>7.3999999999999996E-2</v>
      </c>
      <c r="G217" s="5">
        <v>7.51E-2</v>
      </c>
      <c r="H217" s="5">
        <v>7.6399999999999996E-2</v>
      </c>
      <c r="I217" s="5">
        <v>7.4399999999999994E-2</v>
      </c>
    </row>
    <row r="218" spans="1:9" x14ac:dyDescent="0.2">
      <c r="A218" s="2" t="s">
        <v>5</v>
      </c>
      <c r="B218" s="5">
        <v>2.0000000000000001E-4</v>
      </c>
      <c r="C218" s="5">
        <v>2.0000000000000001E-4</v>
      </c>
      <c r="D218" s="5">
        <v>2.0000000000000001E-4</v>
      </c>
      <c r="E218" s="5">
        <v>2.9999999999999997E-4</v>
      </c>
      <c r="F218" s="5">
        <v>2.9999999999999997E-4</v>
      </c>
      <c r="G218" s="5">
        <v>2.9999999999999997E-4</v>
      </c>
      <c r="H218" s="5">
        <v>2.9999999999999997E-4</v>
      </c>
      <c r="I218" s="5">
        <v>2.9999999999999997E-4</v>
      </c>
    </row>
    <row r="219" spans="1:9" x14ac:dyDescent="0.2">
      <c r="A219" s="2" t="s">
        <v>13</v>
      </c>
      <c r="B219" s="5">
        <v>3.8E-3</v>
      </c>
      <c r="C219" s="5">
        <v>3.8E-3</v>
      </c>
      <c r="D219" s="5">
        <v>4.1000000000000003E-3</v>
      </c>
      <c r="E219" s="5">
        <v>4.1999999999999997E-3</v>
      </c>
      <c r="F219" s="5">
        <v>4.1999999999999997E-3</v>
      </c>
      <c r="G219" s="5">
        <v>4.3E-3</v>
      </c>
      <c r="H219" s="5">
        <v>4.4000000000000003E-3</v>
      </c>
      <c r="I219" s="5">
        <v>4.1999999999999997E-3</v>
      </c>
    </row>
    <row r="220" spans="1:9" x14ac:dyDescent="0.2">
      <c r="A220" s="2" t="s">
        <v>14</v>
      </c>
      <c r="B220" s="5">
        <v>2.5000000000000001E-2</v>
      </c>
      <c r="C220" s="5">
        <v>2.4400000000000002E-2</v>
      </c>
      <c r="D220" s="5">
        <v>2.5899999999999999E-2</v>
      </c>
      <c r="E220" s="5">
        <v>2.63E-2</v>
      </c>
      <c r="F220" s="5">
        <v>2.64E-2</v>
      </c>
      <c r="G220" s="5">
        <v>2.7E-2</v>
      </c>
      <c r="H220" s="5">
        <v>2.7300000000000001E-2</v>
      </c>
      <c r="I220" s="5">
        <v>2.6599999999999999E-2</v>
      </c>
    </row>
    <row r="221" spans="1:9" x14ac:dyDescent="0.2">
      <c r="A221" s="3" t="s">
        <v>15</v>
      </c>
      <c r="B221" s="5">
        <v>1.43E-2</v>
      </c>
      <c r="C221" s="5">
        <v>1.45000000000002E-2</v>
      </c>
      <c r="D221" s="5">
        <v>1.7100000000000001E-2</v>
      </c>
      <c r="E221" s="5">
        <v>1.75999999999999E-2</v>
      </c>
      <c r="F221" s="5">
        <v>1.7500000000000199E-2</v>
      </c>
      <c r="G221" s="5">
        <v>1.8600000000000099E-2</v>
      </c>
      <c r="H221" s="5">
        <v>1.89E-2</v>
      </c>
      <c r="I221" s="5">
        <v>1.8200000000000199E-2</v>
      </c>
    </row>
    <row r="222" spans="1:9" x14ac:dyDescent="0.2">
      <c r="A222" s="6" t="s">
        <v>30</v>
      </c>
      <c r="B222" s="7">
        <v>130.38</v>
      </c>
      <c r="C222" s="7">
        <v>133.38999999999999</v>
      </c>
      <c r="D222" s="7">
        <v>156.44999999999999</v>
      </c>
      <c r="E222" s="7">
        <v>162.55000000000001</v>
      </c>
      <c r="F222" s="7">
        <v>163.57</v>
      </c>
      <c r="G222" s="7">
        <v>172.32</v>
      </c>
      <c r="H222" s="7">
        <v>177.4</v>
      </c>
      <c r="I222" s="7">
        <v>168.3</v>
      </c>
    </row>
    <row r="226" spans="1:9" x14ac:dyDescent="0.2">
      <c r="A226" s="4" t="s">
        <v>40</v>
      </c>
      <c r="B226" s="1" t="s">
        <v>20</v>
      </c>
      <c r="C226" s="1" t="s">
        <v>16</v>
      </c>
      <c r="D226" s="1" t="s">
        <v>18</v>
      </c>
      <c r="E226" s="1" t="s">
        <v>28</v>
      </c>
      <c r="F226" s="1" t="s">
        <v>22</v>
      </c>
      <c r="G226" s="1" t="s">
        <v>24</v>
      </c>
      <c r="H226" s="1" t="s">
        <v>29</v>
      </c>
      <c r="I226" s="1" t="s">
        <v>26</v>
      </c>
    </row>
    <row r="227" spans="1:9" x14ac:dyDescent="0.2">
      <c r="A227" s="2" t="s">
        <v>6</v>
      </c>
      <c r="B227" s="5">
        <v>0.26169999999999999</v>
      </c>
      <c r="C227" s="5">
        <v>0.29649999999999999</v>
      </c>
      <c r="D227" s="5">
        <v>0.25840000000000002</v>
      </c>
      <c r="E227" s="5">
        <v>0.24690000000000001</v>
      </c>
      <c r="F227" s="5">
        <v>0.24349999999999999</v>
      </c>
      <c r="G227" s="5">
        <v>0.22939999999999999</v>
      </c>
      <c r="H227" s="5">
        <v>0.2185</v>
      </c>
      <c r="I227" s="5">
        <v>0.23760000000000001</v>
      </c>
    </row>
    <row r="228" spans="1:9" x14ac:dyDescent="0.2">
      <c r="A228" s="2" t="s">
        <v>0</v>
      </c>
      <c r="B228" s="5">
        <v>0.13539999999999999</v>
      </c>
      <c r="C228" s="5">
        <v>0.1179</v>
      </c>
      <c r="D228" s="5">
        <v>0.1467</v>
      </c>
      <c r="E228" s="5">
        <v>0.1527</v>
      </c>
      <c r="F228" s="5">
        <v>0.15359999999999999</v>
      </c>
      <c r="G228" s="5">
        <v>0.1615</v>
      </c>
      <c r="H228" s="5">
        <v>0.16550000000000001</v>
      </c>
      <c r="I228" s="5">
        <v>0.15840000000000001</v>
      </c>
    </row>
    <row r="229" spans="1:9" x14ac:dyDescent="0.2">
      <c r="A229" s="2" t="s">
        <v>1</v>
      </c>
      <c r="B229" s="5">
        <v>0</v>
      </c>
      <c r="C229" s="5">
        <v>0</v>
      </c>
      <c r="D229" s="5">
        <v>0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</row>
    <row r="230" spans="1:9" x14ac:dyDescent="0.2">
      <c r="A230" s="2" t="s">
        <v>2</v>
      </c>
      <c r="B230" s="5">
        <v>8.0999999999999996E-3</v>
      </c>
      <c r="C230" s="5">
        <v>8.5000000000000006E-3</v>
      </c>
      <c r="D230" s="5">
        <v>8.3000000000000001E-3</v>
      </c>
      <c r="E230" s="5">
        <v>8.2000000000000007E-3</v>
      </c>
      <c r="F230" s="5">
        <v>8.0999999999999996E-3</v>
      </c>
      <c r="G230" s="5">
        <v>8.0000000000000002E-3</v>
      </c>
      <c r="H230" s="5">
        <v>7.7999999999999996E-3</v>
      </c>
      <c r="I230" s="5">
        <v>8.0999999999999996E-3</v>
      </c>
    </row>
    <row r="231" spans="1:9" x14ac:dyDescent="0.2">
      <c r="A231" s="2" t="s">
        <v>3</v>
      </c>
      <c r="B231" s="5">
        <v>9.5600000000000004E-2</v>
      </c>
      <c r="C231" s="5">
        <v>9.2499999999999999E-2</v>
      </c>
      <c r="D231" s="5">
        <v>8.2900000000000001E-2</v>
      </c>
      <c r="E231" s="5">
        <v>8.2199999999999995E-2</v>
      </c>
      <c r="F231" s="5">
        <v>8.2100000000000006E-2</v>
      </c>
      <c r="G231" s="5">
        <v>8.14E-2</v>
      </c>
      <c r="H231" s="5">
        <v>8.1199999999999994E-2</v>
      </c>
      <c r="I231" s="5">
        <v>8.1199999999999994E-2</v>
      </c>
    </row>
    <row r="232" spans="1:9" x14ac:dyDescent="0.2">
      <c r="A232" s="3" t="s">
        <v>52</v>
      </c>
      <c r="B232" s="5">
        <v>0.13009999999999999</v>
      </c>
      <c r="C232" s="5">
        <v>0.12620000000000001</v>
      </c>
      <c r="D232" s="5">
        <v>0.126</v>
      </c>
      <c r="E232" s="5">
        <v>0.12690000000000001</v>
      </c>
      <c r="F232" s="5">
        <v>0.12720000000000001</v>
      </c>
      <c r="G232" s="5">
        <v>0.12820000000000001</v>
      </c>
      <c r="H232" s="5">
        <v>0.1293</v>
      </c>
      <c r="I232" s="5">
        <v>0.12720000000000001</v>
      </c>
    </row>
    <row r="233" spans="1:9" x14ac:dyDescent="0.2">
      <c r="A233" s="2" t="s">
        <v>7</v>
      </c>
      <c r="B233" s="5">
        <v>0</v>
      </c>
      <c r="C233" s="5">
        <v>0</v>
      </c>
      <c r="D233" s="5">
        <v>0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</row>
    <row r="234" spans="1:9" x14ac:dyDescent="0.2">
      <c r="A234" s="2" t="s">
        <v>8</v>
      </c>
      <c r="B234" s="5">
        <v>1.12E-2</v>
      </c>
      <c r="C234" s="5">
        <v>1.0200000000000001E-2</v>
      </c>
      <c r="D234" s="5">
        <v>9.5999999999999992E-3</v>
      </c>
      <c r="E234" s="5">
        <v>9.5999999999999992E-3</v>
      </c>
      <c r="F234" s="5">
        <v>9.5999999999999992E-3</v>
      </c>
      <c r="G234" s="5">
        <v>9.4999999999999998E-3</v>
      </c>
      <c r="H234" s="5">
        <v>9.4000000000000004E-3</v>
      </c>
      <c r="I234" s="5">
        <v>9.4999999999999998E-3</v>
      </c>
    </row>
    <row r="235" spans="1:9" x14ac:dyDescent="0.2">
      <c r="A235" s="2" t="s">
        <v>43</v>
      </c>
      <c r="B235" s="5">
        <v>3.1199999999999999E-2</v>
      </c>
      <c r="C235" s="5">
        <v>2.8500000000000001E-2</v>
      </c>
      <c r="D235" s="5">
        <v>2.69E-2</v>
      </c>
      <c r="E235" s="5">
        <v>2.6800000000000001E-2</v>
      </c>
      <c r="F235" s="5">
        <v>2.6700000000000002E-2</v>
      </c>
      <c r="G235" s="5">
        <v>2.6599999999999999E-2</v>
      </c>
      <c r="H235" s="5">
        <v>2.63E-2</v>
      </c>
      <c r="I235" s="5">
        <v>2.64E-2</v>
      </c>
    </row>
    <row r="236" spans="1:9" x14ac:dyDescent="0.2">
      <c r="A236" s="2" t="s">
        <v>44</v>
      </c>
      <c r="B236" s="5">
        <v>3.1199999999999999E-2</v>
      </c>
      <c r="C236" s="5">
        <v>2.8500000000000001E-2</v>
      </c>
      <c r="D236" s="5">
        <v>2.69E-2</v>
      </c>
      <c r="E236" s="5">
        <v>2.6800000000000001E-2</v>
      </c>
      <c r="F236" s="5">
        <v>2.6700000000000002E-2</v>
      </c>
      <c r="G236" s="5">
        <v>2.6599999999999999E-2</v>
      </c>
      <c r="H236" s="5">
        <v>2.63E-2</v>
      </c>
      <c r="I236" s="5">
        <v>2.64E-2</v>
      </c>
    </row>
    <row r="237" spans="1:9" x14ac:dyDescent="0.2">
      <c r="A237" s="2" t="s">
        <v>9</v>
      </c>
      <c r="B237" s="5">
        <v>1.9300000000000001E-2</v>
      </c>
      <c r="C237" s="5">
        <v>1.8599999999999998E-2</v>
      </c>
      <c r="D237" s="5">
        <v>1.6899999999999998E-2</v>
      </c>
      <c r="E237" s="5">
        <v>1.6799999999999999E-2</v>
      </c>
      <c r="F237" s="5">
        <v>1.67E-2</v>
      </c>
      <c r="G237" s="5">
        <v>1.66E-2</v>
      </c>
      <c r="H237" s="5">
        <v>1.6500000000000001E-2</v>
      </c>
      <c r="I237" s="5">
        <v>1.6500000000000001E-2</v>
      </c>
    </row>
    <row r="238" spans="1:9" x14ac:dyDescent="0.2">
      <c r="A238" s="2" t="s">
        <v>10</v>
      </c>
      <c r="B238" s="5">
        <v>0</v>
      </c>
      <c r="C238" s="5">
        <v>0</v>
      </c>
      <c r="D238" s="5">
        <v>0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</row>
    <row r="239" spans="1:9" x14ac:dyDescent="0.2">
      <c r="A239" s="2" t="s">
        <v>11</v>
      </c>
      <c r="B239" s="5">
        <v>2.9999999999999997E-4</v>
      </c>
      <c r="C239" s="5">
        <v>2.0000000000000001E-4</v>
      </c>
      <c r="D239" s="5">
        <v>2.0000000000000001E-4</v>
      </c>
      <c r="E239" s="5">
        <v>2.0000000000000001E-4</v>
      </c>
      <c r="F239" s="5">
        <v>2.0000000000000001E-4</v>
      </c>
      <c r="G239" s="5">
        <v>2.0000000000000001E-4</v>
      </c>
      <c r="H239" s="5">
        <v>2.0000000000000001E-4</v>
      </c>
      <c r="I239" s="5">
        <v>2.0000000000000001E-4</v>
      </c>
    </row>
    <row r="240" spans="1:9" x14ac:dyDescent="0.2">
      <c r="A240" s="2" t="s">
        <v>45</v>
      </c>
      <c r="B240" s="5">
        <v>2.8E-3</v>
      </c>
      <c r="C240" s="5">
        <v>2.5999999999999999E-3</v>
      </c>
      <c r="D240" s="5">
        <v>2.5999999999999999E-3</v>
      </c>
      <c r="E240" s="5">
        <v>2.5999999999999999E-3</v>
      </c>
      <c r="F240" s="5">
        <v>2.5999999999999999E-3</v>
      </c>
      <c r="G240" s="5">
        <v>2.7000000000000001E-3</v>
      </c>
      <c r="H240" s="5">
        <v>2.7000000000000001E-3</v>
      </c>
      <c r="I240" s="5">
        <v>2.5999999999999999E-3</v>
      </c>
    </row>
    <row r="241" spans="1:9" x14ac:dyDescent="0.2">
      <c r="A241" s="2" t="s">
        <v>4</v>
      </c>
      <c r="B241" s="5">
        <v>0.16700000000000001</v>
      </c>
      <c r="C241" s="5">
        <v>0.16569999999999999</v>
      </c>
      <c r="D241" s="5">
        <v>0.18210000000000001</v>
      </c>
      <c r="E241" s="5">
        <v>0.18579999999999999</v>
      </c>
      <c r="F241" s="5">
        <v>0.18759999999999999</v>
      </c>
      <c r="G241" s="5">
        <v>0.19159999999999999</v>
      </c>
      <c r="H241" s="5">
        <v>0.19639999999999999</v>
      </c>
      <c r="I241" s="5">
        <v>0.1895</v>
      </c>
    </row>
    <row r="242" spans="1:9" x14ac:dyDescent="0.2">
      <c r="A242" s="2" t="s">
        <v>12</v>
      </c>
      <c r="B242" s="5">
        <v>6.7900000000000002E-2</v>
      </c>
      <c r="C242" s="5">
        <v>6.6299999999999998E-2</v>
      </c>
      <c r="D242" s="5">
        <v>7.0800000000000002E-2</v>
      </c>
      <c r="E242" s="5">
        <v>7.1900000000000006E-2</v>
      </c>
      <c r="F242" s="5">
        <v>7.2400000000000006E-2</v>
      </c>
      <c r="G242" s="5">
        <v>7.3599999999999999E-2</v>
      </c>
      <c r="H242" s="5">
        <v>7.4899999999999994E-2</v>
      </c>
      <c r="I242" s="5">
        <v>7.2900000000000006E-2</v>
      </c>
    </row>
    <row r="243" spans="1:9" x14ac:dyDescent="0.2">
      <c r="A243" s="2" t="s">
        <v>5</v>
      </c>
      <c r="B243" s="5">
        <v>1E-4</v>
      </c>
      <c r="C243" s="5">
        <v>1E-4</v>
      </c>
      <c r="D243" s="5">
        <v>1E-4</v>
      </c>
      <c r="E243" s="5">
        <v>1E-4</v>
      </c>
      <c r="F243" s="5">
        <v>1E-4</v>
      </c>
      <c r="G243" s="5">
        <v>1E-4</v>
      </c>
      <c r="H243" s="5">
        <v>1E-4</v>
      </c>
      <c r="I243" s="5">
        <v>1E-4</v>
      </c>
    </row>
    <row r="244" spans="1:9" x14ac:dyDescent="0.2">
      <c r="A244" s="2" t="s">
        <v>13</v>
      </c>
      <c r="B244" s="5">
        <v>3.7000000000000002E-3</v>
      </c>
      <c r="C244" s="5">
        <v>3.7000000000000002E-3</v>
      </c>
      <c r="D244" s="5">
        <v>4.0000000000000001E-3</v>
      </c>
      <c r="E244" s="5">
        <v>4.1000000000000003E-3</v>
      </c>
      <c r="F244" s="5">
        <v>4.1000000000000003E-3</v>
      </c>
      <c r="G244" s="5">
        <v>4.1999999999999997E-3</v>
      </c>
      <c r="H244" s="5">
        <v>4.3E-3</v>
      </c>
      <c r="I244" s="5">
        <v>4.1999999999999997E-3</v>
      </c>
    </row>
    <row r="245" spans="1:9" x14ac:dyDescent="0.2">
      <c r="A245" s="2" t="s">
        <v>14</v>
      </c>
      <c r="B245" s="5">
        <v>2.3599999999999999E-2</v>
      </c>
      <c r="C245" s="5">
        <v>2.3E-2</v>
      </c>
      <c r="D245" s="5">
        <v>2.4500000000000001E-2</v>
      </c>
      <c r="E245" s="5">
        <v>2.4899999999999999E-2</v>
      </c>
      <c r="F245" s="5">
        <v>2.5000000000000001E-2</v>
      </c>
      <c r="G245" s="5">
        <v>2.5499999999999998E-2</v>
      </c>
      <c r="H245" s="5">
        <v>2.58E-2</v>
      </c>
      <c r="I245" s="5">
        <v>2.52E-2</v>
      </c>
    </row>
    <row r="246" spans="1:9" x14ac:dyDescent="0.2">
      <c r="A246" s="3" t="s">
        <v>15</v>
      </c>
      <c r="B246" s="5">
        <v>1.0800000000000001E-2</v>
      </c>
      <c r="C246" s="5">
        <v>1.10000000000001E-2</v>
      </c>
      <c r="D246" s="5">
        <v>1.30999999999999E-2</v>
      </c>
      <c r="E246" s="5">
        <v>1.34999999999998E-2</v>
      </c>
      <c r="F246" s="5">
        <v>1.3799999999999899E-2</v>
      </c>
      <c r="G246" s="5">
        <v>1.43000000000002E-2</v>
      </c>
      <c r="H246" s="5">
        <v>1.48000000000001E-2</v>
      </c>
      <c r="I246" s="5">
        <v>1.4000000000000099E-2</v>
      </c>
    </row>
    <row r="247" spans="1:9" x14ac:dyDescent="0.2">
      <c r="A247" s="6" t="s">
        <v>30</v>
      </c>
      <c r="B247" s="7">
        <v>135.52000000000001</v>
      </c>
      <c r="C247" s="7">
        <v>138.47</v>
      </c>
      <c r="D247" s="7">
        <v>163.07</v>
      </c>
      <c r="E247" s="7">
        <v>169.6</v>
      </c>
      <c r="F247" s="7">
        <v>170.7</v>
      </c>
      <c r="G247" s="7">
        <v>180.09</v>
      </c>
      <c r="H247" s="7">
        <v>185.57</v>
      </c>
      <c r="I247" s="7">
        <v>175.77</v>
      </c>
    </row>
    <row r="251" spans="1:9" x14ac:dyDescent="0.2">
      <c r="A251" s="4" t="s">
        <v>41</v>
      </c>
      <c r="B251" s="1" t="s">
        <v>20</v>
      </c>
      <c r="C251" s="1" t="s">
        <v>16</v>
      </c>
      <c r="D251" s="1" t="s">
        <v>18</v>
      </c>
      <c r="E251" s="1" t="s">
        <v>28</v>
      </c>
      <c r="F251" s="1" t="s">
        <v>22</v>
      </c>
      <c r="G251" s="1" t="s">
        <v>24</v>
      </c>
      <c r="H251" s="1" t="s">
        <v>29</v>
      </c>
      <c r="I251" s="1" t="s">
        <v>26</v>
      </c>
    </row>
    <row r="252" spans="1:9" x14ac:dyDescent="0.2">
      <c r="A252" s="2" t="s">
        <v>6</v>
      </c>
      <c r="B252" s="5">
        <v>0.27829999999999999</v>
      </c>
      <c r="C252" s="5">
        <v>0.31640000000000001</v>
      </c>
      <c r="D252" s="5">
        <v>0.2802</v>
      </c>
      <c r="E252" s="5">
        <v>0.26919999999999999</v>
      </c>
      <c r="F252" s="5">
        <v>0.2656</v>
      </c>
      <c r="G252" s="5">
        <v>0.25030000000000002</v>
      </c>
      <c r="H252" s="5">
        <v>0.24010000000000001</v>
      </c>
      <c r="I252" s="5">
        <v>0.2591</v>
      </c>
    </row>
    <row r="253" spans="1:9" x14ac:dyDescent="0.2">
      <c r="A253" s="2" t="s">
        <v>0</v>
      </c>
      <c r="B253" s="5">
        <v>0.1434</v>
      </c>
      <c r="C253" s="5">
        <v>0.12520000000000001</v>
      </c>
      <c r="D253" s="5">
        <v>0.15820000000000001</v>
      </c>
      <c r="E253" s="5">
        <v>0.1656</v>
      </c>
      <c r="F253" s="5">
        <v>0.16669999999999999</v>
      </c>
      <c r="G253" s="5">
        <v>0.17530000000000001</v>
      </c>
      <c r="H253" s="5">
        <v>0.18079999999999999</v>
      </c>
      <c r="I253" s="5">
        <v>0.1719</v>
      </c>
    </row>
    <row r="254" spans="1:9" x14ac:dyDescent="0.2">
      <c r="A254" s="2" t="s">
        <v>1</v>
      </c>
      <c r="B254" s="5">
        <v>0</v>
      </c>
      <c r="C254" s="5">
        <v>0</v>
      </c>
      <c r="D254" s="5">
        <v>0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</row>
    <row r="255" spans="1:9" x14ac:dyDescent="0.2">
      <c r="A255" s="2" t="s">
        <v>2</v>
      </c>
      <c r="B255" s="5">
        <v>8.6E-3</v>
      </c>
      <c r="C255" s="5">
        <v>8.9999999999999993E-3</v>
      </c>
      <c r="D255" s="5">
        <v>8.8999999999999999E-3</v>
      </c>
      <c r="E255" s="5">
        <v>8.8999999999999999E-3</v>
      </c>
      <c r="F255" s="5">
        <v>8.8000000000000005E-3</v>
      </c>
      <c r="G255" s="5">
        <v>8.6999999999999994E-3</v>
      </c>
      <c r="H255" s="5">
        <v>8.6E-3</v>
      </c>
      <c r="I255" s="5">
        <v>8.8000000000000005E-3</v>
      </c>
    </row>
    <row r="256" spans="1:9" x14ac:dyDescent="0.2">
      <c r="A256" s="2" t="s">
        <v>3</v>
      </c>
      <c r="B256" s="5">
        <v>9.74E-2</v>
      </c>
      <c r="C256" s="5">
        <v>9.35E-2</v>
      </c>
      <c r="D256" s="5">
        <v>7.9899999999999999E-2</v>
      </c>
      <c r="E256" s="5">
        <v>7.8100000000000003E-2</v>
      </c>
      <c r="F256" s="5">
        <v>7.7799999999999994E-2</v>
      </c>
      <c r="G256" s="5">
        <v>7.5899999999999995E-2</v>
      </c>
      <c r="H256" s="5">
        <v>7.4800000000000005E-2</v>
      </c>
      <c r="I256" s="5">
        <v>7.5899999999999995E-2</v>
      </c>
    </row>
    <row r="257" spans="1:9" x14ac:dyDescent="0.2">
      <c r="A257" s="3" t="s">
        <v>52</v>
      </c>
      <c r="B257" s="5">
        <v>0.1275</v>
      </c>
      <c r="C257" s="5">
        <v>0.1229</v>
      </c>
      <c r="D257" s="5">
        <v>0.1215</v>
      </c>
      <c r="E257" s="5">
        <v>0.122</v>
      </c>
      <c r="F257" s="5">
        <v>0.12230000000000001</v>
      </c>
      <c r="G257" s="5">
        <v>0.12330000000000001</v>
      </c>
      <c r="H257" s="5">
        <v>0.1241</v>
      </c>
      <c r="I257" s="5">
        <v>0.1222</v>
      </c>
    </row>
    <row r="258" spans="1:9" x14ac:dyDescent="0.2">
      <c r="A258" s="2" t="s">
        <v>7</v>
      </c>
      <c r="B258" s="5">
        <v>0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</row>
    <row r="259" spans="1:9" x14ac:dyDescent="0.2">
      <c r="A259" s="2" t="s">
        <v>8</v>
      </c>
      <c r="B259" s="5">
        <v>1.2E-2</v>
      </c>
      <c r="C259" s="5">
        <v>1.0999999999999999E-2</v>
      </c>
      <c r="D259" s="5">
        <v>1.0500000000000001E-2</v>
      </c>
      <c r="E259" s="5">
        <v>1.0500000000000001E-2</v>
      </c>
      <c r="F259" s="5">
        <v>1.04E-2</v>
      </c>
      <c r="G259" s="5">
        <v>1.04E-2</v>
      </c>
      <c r="H259" s="5">
        <v>1.03E-2</v>
      </c>
      <c r="I259" s="5">
        <v>1.03E-2</v>
      </c>
    </row>
    <row r="260" spans="1:9" x14ac:dyDescent="0.2">
      <c r="A260" s="2" t="s">
        <v>43</v>
      </c>
      <c r="B260" s="5">
        <v>3.3599999999999998E-2</v>
      </c>
      <c r="C260" s="5">
        <v>3.0800000000000001E-2</v>
      </c>
      <c r="D260" s="5">
        <v>2.93E-2</v>
      </c>
      <c r="E260" s="5">
        <v>2.92E-2</v>
      </c>
      <c r="F260" s="5">
        <v>2.9100000000000001E-2</v>
      </c>
      <c r="G260" s="5">
        <v>2.8899999999999999E-2</v>
      </c>
      <c r="H260" s="5">
        <v>2.8799999999999999E-2</v>
      </c>
      <c r="I260" s="5">
        <v>2.8799999999999999E-2</v>
      </c>
    </row>
    <row r="261" spans="1:9" x14ac:dyDescent="0.2">
      <c r="A261" s="2" t="s">
        <v>44</v>
      </c>
      <c r="B261" s="5">
        <v>3.3599999999999998E-2</v>
      </c>
      <c r="C261" s="5">
        <v>3.0800000000000001E-2</v>
      </c>
      <c r="D261" s="5">
        <v>2.93E-2</v>
      </c>
      <c r="E261" s="5">
        <v>2.92E-2</v>
      </c>
      <c r="F261" s="5">
        <v>2.9100000000000001E-2</v>
      </c>
      <c r="G261" s="5">
        <v>2.8899999999999999E-2</v>
      </c>
      <c r="H261" s="5">
        <v>2.8799999999999999E-2</v>
      </c>
      <c r="I261" s="5">
        <v>2.8799999999999999E-2</v>
      </c>
    </row>
    <row r="262" spans="1:9" x14ac:dyDescent="0.2">
      <c r="A262" s="2" t="s">
        <v>9</v>
      </c>
      <c r="B262" s="5">
        <v>2.0199999999999999E-2</v>
      </c>
      <c r="C262" s="5">
        <v>1.9400000000000001E-2</v>
      </c>
      <c r="D262" s="5">
        <v>1.7299999999999999E-2</v>
      </c>
      <c r="E262" s="5">
        <v>1.7100000000000001E-2</v>
      </c>
      <c r="F262" s="5">
        <v>1.7000000000000001E-2</v>
      </c>
      <c r="G262" s="5">
        <v>1.67E-2</v>
      </c>
      <c r="H262" s="5">
        <v>1.66E-2</v>
      </c>
      <c r="I262" s="5">
        <v>1.67E-2</v>
      </c>
    </row>
    <row r="263" spans="1:9" x14ac:dyDescent="0.2">
      <c r="A263" s="2" t="s">
        <v>10</v>
      </c>
      <c r="B263" s="5">
        <v>0</v>
      </c>
      <c r="C263" s="5">
        <v>0</v>
      </c>
      <c r="D263" s="5">
        <v>0</v>
      </c>
      <c r="E263" s="5">
        <v>0</v>
      </c>
      <c r="F263" s="5">
        <v>0</v>
      </c>
      <c r="G263" s="5">
        <v>0</v>
      </c>
      <c r="H263" s="5">
        <v>0</v>
      </c>
      <c r="I263" s="5">
        <v>0</v>
      </c>
    </row>
    <row r="264" spans="1:9" x14ac:dyDescent="0.2">
      <c r="A264" s="2" t="s">
        <v>11</v>
      </c>
      <c r="B264" s="5">
        <v>2.9999999999999997E-4</v>
      </c>
      <c r="C264" s="5">
        <v>2.9999999999999997E-4</v>
      </c>
      <c r="D264" s="5">
        <v>2.9999999999999997E-4</v>
      </c>
      <c r="E264" s="5">
        <v>2.9999999999999997E-4</v>
      </c>
      <c r="F264" s="5">
        <v>2.9999999999999997E-4</v>
      </c>
      <c r="G264" s="5">
        <v>2.9999999999999997E-4</v>
      </c>
      <c r="H264" s="5">
        <v>2.9999999999999997E-4</v>
      </c>
      <c r="I264" s="5">
        <v>2.9999999999999997E-4</v>
      </c>
    </row>
    <row r="265" spans="1:9" x14ac:dyDescent="0.2">
      <c r="A265" s="2" t="s">
        <v>45</v>
      </c>
      <c r="B265" s="5">
        <v>2.8E-3</v>
      </c>
      <c r="C265" s="5">
        <v>2.5999999999999999E-3</v>
      </c>
      <c r="D265" s="5">
        <v>2.5999999999999999E-3</v>
      </c>
      <c r="E265" s="5">
        <v>2.7000000000000001E-3</v>
      </c>
      <c r="F265" s="5">
        <v>2.7000000000000001E-3</v>
      </c>
      <c r="G265" s="5">
        <v>2.7000000000000001E-3</v>
      </c>
      <c r="H265" s="5">
        <v>2.7000000000000001E-3</v>
      </c>
      <c r="I265" s="5">
        <v>2.7000000000000001E-3</v>
      </c>
    </row>
    <row r="266" spans="1:9" x14ac:dyDescent="0.2">
      <c r="A266" s="2" t="s">
        <v>4</v>
      </c>
      <c r="B266" s="5">
        <v>0.14660000000000001</v>
      </c>
      <c r="C266" s="5">
        <v>0.14449999999999999</v>
      </c>
      <c r="D266" s="5">
        <v>0.1603</v>
      </c>
      <c r="E266" s="5">
        <v>0.1636</v>
      </c>
      <c r="F266" s="5">
        <v>0.1656</v>
      </c>
      <c r="G266" s="5">
        <v>0.17119999999999999</v>
      </c>
      <c r="H266" s="5">
        <v>0.17469999999999999</v>
      </c>
      <c r="I266" s="5">
        <v>0.1686</v>
      </c>
    </row>
    <row r="267" spans="1:9" x14ac:dyDescent="0.2">
      <c r="A267" s="2" t="s">
        <v>12</v>
      </c>
      <c r="B267" s="5">
        <v>6.3200000000000006E-2</v>
      </c>
      <c r="C267" s="5">
        <v>6.1400000000000003E-2</v>
      </c>
      <c r="D267" s="5">
        <v>6.6199999999999995E-2</v>
      </c>
      <c r="E267" s="5">
        <v>6.7299999999999999E-2</v>
      </c>
      <c r="F267" s="5">
        <v>6.7900000000000002E-2</v>
      </c>
      <c r="G267" s="5">
        <v>6.9599999999999995E-2</v>
      </c>
      <c r="H267" s="5">
        <v>7.0699999999999999E-2</v>
      </c>
      <c r="I267" s="5">
        <v>6.8699999999999997E-2</v>
      </c>
    </row>
    <row r="268" spans="1:9" x14ac:dyDescent="0.2">
      <c r="A268" s="2" t="s">
        <v>5</v>
      </c>
      <c r="B268" s="5">
        <v>1E-4</v>
      </c>
      <c r="C268" s="5">
        <v>1E-4</v>
      </c>
      <c r="D268" s="5">
        <v>1E-4</v>
      </c>
      <c r="E268" s="5">
        <v>1E-4</v>
      </c>
      <c r="F268" s="5">
        <v>1E-4</v>
      </c>
      <c r="G268" s="5">
        <v>1E-4</v>
      </c>
      <c r="H268" s="5">
        <v>1E-4</v>
      </c>
      <c r="I268" s="5">
        <v>1E-4</v>
      </c>
    </row>
    <row r="269" spans="1:9" x14ac:dyDescent="0.2">
      <c r="A269" s="2" t="s">
        <v>13</v>
      </c>
      <c r="B269" s="5">
        <v>3.3E-3</v>
      </c>
      <c r="C269" s="5">
        <v>3.3E-3</v>
      </c>
      <c r="D269" s="5">
        <v>3.5999999999999999E-3</v>
      </c>
      <c r="E269" s="5">
        <v>3.7000000000000002E-3</v>
      </c>
      <c r="F269" s="5">
        <v>3.7000000000000002E-3</v>
      </c>
      <c r="G269" s="5">
        <v>3.8999999999999998E-3</v>
      </c>
      <c r="H269" s="5">
        <v>3.8999999999999998E-3</v>
      </c>
      <c r="I269" s="5">
        <v>3.8E-3</v>
      </c>
    </row>
    <row r="270" spans="1:9" x14ac:dyDescent="0.2">
      <c r="A270" s="2" t="s">
        <v>14</v>
      </c>
      <c r="B270" s="5">
        <v>2.1399999999999999E-2</v>
      </c>
      <c r="C270" s="5">
        <v>2.07E-2</v>
      </c>
      <c r="D270" s="5">
        <v>2.23E-2</v>
      </c>
      <c r="E270" s="5">
        <v>2.2700000000000001E-2</v>
      </c>
      <c r="F270" s="5">
        <v>2.2800000000000001E-2</v>
      </c>
      <c r="G270" s="5">
        <v>2.3400000000000001E-2</v>
      </c>
      <c r="H270" s="5">
        <v>2.3800000000000002E-2</v>
      </c>
      <c r="I270" s="5">
        <v>2.3099999999999999E-2</v>
      </c>
    </row>
    <row r="271" spans="1:9" x14ac:dyDescent="0.2">
      <c r="A271" s="3" t="s">
        <v>15</v>
      </c>
      <c r="B271" s="5">
        <v>7.7000000000001503E-3</v>
      </c>
      <c r="C271" s="5">
        <v>8.0999999999998903E-3</v>
      </c>
      <c r="D271" s="5">
        <v>9.4999999999999495E-3</v>
      </c>
      <c r="E271" s="5">
        <v>9.7999999999999199E-3</v>
      </c>
      <c r="F271" s="5">
        <v>1.01E-2</v>
      </c>
      <c r="G271" s="5">
        <v>1.04E-2</v>
      </c>
      <c r="H271" s="5">
        <v>1.09E-2</v>
      </c>
      <c r="I271" s="5">
        <v>1.0200000000000001E-2</v>
      </c>
    </row>
    <row r="272" spans="1:9" x14ac:dyDescent="0.2">
      <c r="A272" s="6" t="s">
        <v>30</v>
      </c>
      <c r="B272" s="7">
        <v>144.16</v>
      </c>
      <c r="C272" s="7">
        <v>147.82</v>
      </c>
      <c r="D272" s="7">
        <v>176.85</v>
      </c>
      <c r="E272" s="7">
        <v>184.92</v>
      </c>
      <c r="F272" s="7">
        <v>186.21</v>
      </c>
      <c r="G272" s="7">
        <v>196.46</v>
      </c>
      <c r="H272" s="7">
        <v>203.89</v>
      </c>
      <c r="I272" s="7">
        <v>191.69</v>
      </c>
    </row>
    <row r="276" spans="1:9" x14ac:dyDescent="0.2">
      <c r="A276" s="4" t="s">
        <v>42</v>
      </c>
      <c r="B276" s="1" t="s">
        <v>20</v>
      </c>
      <c r="C276" s="1" t="s">
        <v>16</v>
      </c>
      <c r="D276" s="1" t="s">
        <v>18</v>
      </c>
      <c r="E276" s="1" t="s">
        <v>28</v>
      </c>
      <c r="F276" s="1" t="s">
        <v>22</v>
      </c>
      <c r="G276" s="1" t="s">
        <v>24</v>
      </c>
      <c r="H276" s="1" t="s">
        <v>29</v>
      </c>
      <c r="I276" s="1" t="s">
        <v>26</v>
      </c>
    </row>
    <row r="277" spans="1:9" x14ac:dyDescent="0.2">
      <c r="A277" s="2" t="s">
        <v>6</v>
      </c>
      <c r="B277" s="5">
        <v>0.2908</v>
      </c>
      <c r="C277" s="5">
        <v>0.33139999999999997</v>
      </c>
      <c r="D277" s="5">
        <v>0.2969</v>
      </c>
      <c r="E277" s="5">
        <v>0.28499999999999998</v>
      </c>
      <c r="F277" s="5">
        <v>0.28160000000000002</v>
      </c>
      <c r="G277" s="5">
        <v>0.26679999999999998</v>
      </c>
      <c r="H277" s="5">
        <v>0.2555</v>
      </c>
      <c r="I277" s="5">
        <v>0.2757</v>
      </c>
    </row>
    <row r="278" spans="1:9" x14ac:dyDescent="0.2">
      <c r="A278" s="2" t="s">
        <v>0</v>
      </c>
      <c r="B278" s="5">
        <v>0.14929999999999999</v>
      </c>
      <c r="C278" s="5">
        <v>0.13059999999999999</v>
      </c>
      <c r="D278" s="5">
        <v>0.16689999999999999</v>
      </c>
      <c r="E278" s="5">
        <v>0.17460000000000001</v>
      </c>
      <c r="F278" s="5">
        <v>0.17599999999999999</v>
      </c>
      <c r="G278" s="5">
        <v>0.186</v>
      </c>
      <c r="H278" s="5">
        <v>0.19159999999999999</v>
      </c>
      <c r="I278" s="5">
        <v>0.18210000000000001</v>
      </c>
    </row>
    <row r="279" spans="1:9" x14ac:dyDescent="0.2">
      <c r="A279" s="2" t="s">
        <v>1</v>
      </c>
      <c r="B279" s="5">
        <v>0</v>
      </c>
      <c r="C279" s="5">
        <v>0</v>
      </c>
      <c r="D279" s="5">
        <v>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</row>
    <row r="280" spans="1:9" x14ac:dyDescent="0.2">
      <c r="A280" s="2" t="s">
        <v>2</v>
      </c>
      <c r="B280" s="5">
        <v>8.9999999999999993E-3</v>
      </c>
      <c r="C280" s="5">
        <v>9.4000000000000004E-3</v>
      </c>
      <c r="D280" s="5">
        <v>9.4999999999999998E-3</v>
      </c>
      <c r="E280" s="5">
        <v>9.4000000000000004E-3</v>
      </c>
      <c r="F280" s="5">
        <v>9.2999999999999992E-3</v>
      </c>
      <c r="G280" s="5">
        <v>9.1999999999999998E-3</v>
      </c>
      <c r="H280" s="5">
        <v>9.1000000000000004E-3</v>
      </c>
      <c r="I280" s="5">
        <v>9.2999999999999992E-3</v>
      </c>
    </row>
    <row r="281" spans="1:9" x14ac:dyDescent="0.2">
      <c r="A281" s="2" t="s">
        <v>3</v>
      </c>
      <c r="B281" s="5">
        <v>0.10390000000000001</v>
      </c>
      <c r="C281" s="5">
        <v>9.9599999999999994E-2</v>
      </c>
      <c r="D281" s="5">
        <v>8.2600000000000007E-2</v>
      </c>
      <c r="E281" s="5">
        <v>8.0799999999999997E-2</v>
      </c>
      <c r="F281" s="5">
        <v>8.0399999999999999E-2</v>
      </c>
      <c r="G281" s="5">
        <v>7.8299999999999995E-2</v>
      </c>
      <c r="H281" s="5">
        <v>7.7100000000000002E-2</v>
      </c>
      <c r="I281" s="5">
        <v>7.8299999999999995E-2</v>
      </c>
    </row>
    <row r="282" spans="1:9" x14ac:dyDescent="0.2">
      <c r="A282" s="3" t="s">
        <v>52</v>
      </c>
      <c r="B282" s="5">
        <v>0.12759999999999999</v>
      </c>
      <c r="C282" s="5">
        <v>0.12239999999999999</v>
      </c>
      <c r="D282" s="5">
        <v>0.12039999999999999</v>
      </c>
      <c r="E282" s="5">
        <v>0.121</v>
      </c>
      <c r="F282" s="5">
        <v>0.1211</v>
      </c>
      <c r="G282" s="5">
        <v>0.12189999999999999</v>
      </c>
      <c r="H282" s="5">
        <v>0.1226</v>
      </c>
      <c r="I282" s="5">
        <v>0.1208</v>
      </c>
    </row>
    <row r="283" spans="1:9" x14ac:dyDescent="0.2">
      <c r="A283" s="2" t="s">
        <v>7</v>
      </c>
      <c r="B283" s="5">
        <v>0</v>
      </c>
      <c r="C283" s="5">
        <v>0</v>
      </c>
      <c r="D283" s="5">
        <v>0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</row>
    <row r="284" spans="1:9" x14ac:dyDescent="0.2">
      <c r="A284" s="2" t="s">
        <v>8</v>
      </c>
      <c r="B284" s="5">
        <v>1.2699999999999999E-2</v>
      </c>
      <c r="C284" s="5">
        <v>1.1599999999999999E-2</v>
      </c>
      <c r="D284" s="5">
        <v>1.12E-2</v>
      </c>
      <c r="E284" s="5">
        <v>1.11E-2</v>
      </c>
      <c r="F284" s="5">
        <v>1.11E-2</v>
      </c>
      <c r="G284" s="5">
        <v>1.11E-2</v>
      </c>
      <c r="H284" s="5">
        <v>1.0999999999999999E-2</v>
      </c>
      <c r="I284" s="5">
        <v>1.0999999999999999E-2</v>
      </c>
    </row>
    <row r="285" spans="1:9" x14ac:dyDescent="0.2">
      <c r="A285" s="2" t="s">
        <v>43</v>
      </c>
      <c r="B285" s="5">
        <v>3.5299999999999998E-2</v>
      </c>
      <c r="C285" s="5">
        <v>3.2399999999999998E-2</v>
      </c>
      <c r="D285" s="5">
        <v>3.1199999999999999E-2</v>
      </c>
      <c r="E285" s="5">
        <v>3.1099999999999999E-2</v>
      </c>
      <c r="F285" s="5">
        <v>3.1E-2</v>
      </c>
      <c r="G285" s="5">
        <v>3.09E-2</v>
      </c>
      <c r="H285" s="5">
        <v>3.0700000000000002E-2</v>
      </c>
      <c r="I285" s="5">
        <v>3.0700000000000002E-2</v>
      </c>
    </row>
    <row r="286" spans="1:9" x14ac:dyDescent="0.2">
      <c r="A286" s="2" t="s">
        <v>44</v>
      </c>
      <c r="B286" s="5">
        <v>3.5299999999999998E-2</v>
      </c>
      <c r="C286" s="5">
        <v>3.2399999999999998E-2</v>
      </c>
      <c r="D286" s="5">
        <v>3.1199999999999999E-2</v>
      </c>
      <c r="E286" s="5">
        <v>3.1099999999999999E-2</v>
      </c>
      <c r="F286" s="5">
        <v>3.1E-2</v>
      </c>
      <c r="G286" s="5">
        <v>3.09E-2</v>
      </c>
      <c r="H286" s="5">
        <v>3.0700000000000002E-2</v>
      </c>
      <c r="I286" s="5">
        <v>3.0700000000000002E-2</v>
      </c>
    </row>
    <row r="287" spans="1:9" x14ac:dyDescent="0.2">
      <c r="A287" s="2" t="s">
        <v>9</v>
      </c>
      <c r="B287" s="5">
        <v>2.1000000000000001E-2</v>
      </c>
      <c r="C287" s="5">
        <v>0.02</v>
      </c>
      <c r="D287" s="5">
        <v>1.7999999999999999E-2</v>
      </c>
      <c r="E287" s="5">
        <v>1.77E-2</v>
      </c>
      <c r="F287" s="5">
        <v>1.7600000000000001E-2</v>
      </c>
      <c r="G287" s="5">
        <v>1.7299999999999999E-2</v>
      </c>
      <c r="H287" s="5">
        <v>1.72E-2</v>
      </c>
      <c r="I287" s="5">
        <v>1.7299999999999999E-2</v>
      </c>
    </row>
    <row r="288" spans="1:9" x14ac:dyDescent="0.2">
      <c r="A288" s="2" t="s">
        <v>10</v>
      </c>
      <c r="B288" s="5">
        <v>0</v>
      </c>
      <c r="C288" s="5">
        <v>0</v>
      </c>
      <c r="D288" s="5">
        <v>0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</row>
    <row r="289" spans="1:9" x14ac:dyDescent="0.2">
      <c r="A289" s="2" t="s">
        <v>11</v>
      </c>
      <c r="B289" s="5">
        <v>2.9999999999999997E-4</v>
      </c>
      <c r="C289" s="5">
        <v>2.9999999999999997E-4</v>
      </c>
      <c r="D289" s="5">
        <v>2.0000000000000001E-4</v>
      </c>
      <c r="E289" s="5">
        <v>2.0000000000000001E-4</v>
      </c>
      <c r="F289" s="5">
        <v>2.0000000000000001E-4</v>
      </c>
      <c r="G289" s="5">
        <v>2.0000000000000001E-4</v>
      </c>
      <c r="H289" s="5">
        <v>2.0000000000000001E-4</v>
      </c>
      <c r="I289" s="5">
        <v>2.0000000000000001E-4</v>
      </c>
    </row>
    <row r="290" spans="1:9" x14ac:dyDescent="0.2">
      <c r="A290" s="2" t="s">
        <v>45</v>
      </c>
      <c r="B290" s="5">
        <v>3.3E-3</v>
      </c>
      <c r="C290" s="5">
        <v>3.0999999999999999E-3</v>
      </c>
      <c r="D290" s="5">
        <v>3.0999999999999999E-3</v>
      </c>
      <c r="E290" s="5">
        <v>3.0999999999999999E-3</v>
      </c>
      <c r="F290" s="5">
        <v>3.0999999999999999E-3</v>
      </c>
      <c r="G290" s="5">
        <v>3.2000000000000002E-3</v>
      </c>
      <c r="H290" s="5">
        <v>3.2000000000000002E-3</v>
      </c>
      <c r="I290" s="5">
        <v>3.0999999999999999E-3</v>
      </c>
    </row>
    <row r="291" spans="1:9" x14ac:dyDescent="0.2">
      <c r="A291" s="2" t="s">
        <v>4</v>
      </c>
      <c r="B291" s="5">
        <v>0.1263</v>
      </c>
      <c r="C291" s="5">
        <v>0.1239</v>
      </c>
      <c r="D291" s="5">
        <v>0.1381</v>
      </c>
      <c r="E291" s="5">
        <v>0.1419</v>
      </c>
      <c r="F291" s="5">
        <v>0.14369999999999999</v>
      </c>
      <c r="G291" s="5">
        <v>0.14779999999999999</v>
      </c>
      <c r="H291" s="5">
        <v>0.1525</v>
      </c>
      <c r="I291" s="5">
        <v>0.1457</v>
      </c>
    </row>
    <row r="292" spans="1:9" x14ac:dyDescent="0.2">
      <c r="A292" s="2" t="s">
        <v>12</v>
      </c>
      <c r="B292" s="5">
        <v>5.74E-2</v>
      </c>
      <c r="C292" s="5">
        <v>5.57E-2</v>
      </c>
      <c r="D292" s="5">
        <v>6.0499999999999998E-2</v>
      </c>
      <c r="E292" s="5">
        <v>6.1800000000000001E-2</v>
      </c>
      <c r="F292" s="5">
        <v>6.2399999999999997E-2</v>
      </c>
      <c r="G292" s="5">
        <v>6.3799999999999996E-2</v>
      </c>
      <c r="H292" s="5">
        <v>6.5299999999999997E-2</v>
      </c>
      <c r="I292" s="5">
        <v>6.3E-2</v>
      </c>
    </row>
    <row r="293" spans="1:9" x14ac:dyDescent="0.2">
      <c r="A293" s="2" t="s">
        <v>5</v>
      </c>
      <c r="B293" s="5">
        <v>1E-4</v>
      </c>
      <c r="C293" s="5">
        <v>1E-4</v>
      </c>
      <c r="D293" s="5">
        <v>1E-4</v>
      </c>
      <c r="E293" s="5">
        <v>1E-4</v>
      </c>
      <c r="F293" s="5">
        <v>1E-4</v>
      </c>
      <c r="G293" s="5">
        <v>1E-4</v>
      </c>
      <c r="H293" s="5">
        <v>1E-4</v>
      </c>
      <c r="I293" s="5">
        <v>1E-4</v>
      </c>
    </row>
    <row r="294" spans="1:9" x14ac:dyDescent="0.2">
      <c r="A294" s="2" t="s">
        <v>13</v>
      </c>
      <c r="B294" s="5">
        <v>3.0000000000000001E-3</v>
      </c>
      <c r="C294" s="5">
        <v>2.8999999999999998E-3</v>
      </c>
      <c r="D294" s="5">
        <v>3.2000000000000002E-3</v>
      </c>
      <c r="E294" s="5">
        <v>3.3E-3</v>
      </c>
      <c r="F294" s="5">
        <v>3.3E-3</v>
      </c>
      <c r="G294" s="5">
        <v>3.3999999999999998E-3</v>
      </c>
      <c r="H294" s="5">
        <v>3.5000000000000001E-3</v>
      </c>
      <c r="I294" s="5">
        <v>3.3999999999999998E-3</v>
      </c>
    </row>
    <row r="295" spans="1:9" x14ac:dyDescent="0.2">
      <c r="A295" s="2" t="s">
        <v>14</v>
      </c>
      <c r="B295" s="5">
        <v>1.9300000000000001E-2</v>
      </c>
      <c r="C295" s="5">
        <v>1.8800000000000001E-2</v>
      </c>
      <c r="D295" s="5">
        <v>2.0299999999999999E-2</v>
      </c>
      <c r="E295" s="5">
        <v>2.0799999999999999E-2</v>
      </c>
      <c r="F295" s="5">
        <v>2.0899999999999998E-2</v>
      </c>
      <c r="G295" s="5">
        <v>2.1399999999999999E-2</v>
      </c>
      <c r="H295" s="5">
        <v>2.1899999999999999E-2</v>
      </c>
      <c r="I295" s="5">
        <v>2.12E-2</v>
      </c>
    </row>
    <row r="296" spans="1:9" x14ac:dyDescent="0.2">
      <c r="A296" s="3" t="s">
        <v>15</v>
      </c>
      <c r="B296" s="5">
        <v>5.3999999999999604E-3</v>
      </c>
      <c r="C296" s="5">
        <v>5.4000000000001798E-3</v>
      </c>
      <c r="D296" s="5">
        <v>6.6000000000000503E-3</v>
      </c>
      <c r="E296" s="5">
        <v>6.9999999999999004E-3</v>
      </c>
      <c r="F296" s="5">
        <v>7.2000000000001004E-3</v>
      </c>
      <c r="G296" s="5">
        <v>7.7000000000001503E-3</v>
      </c>
      <c r="H296" s="5">
        <v>7.8000000000001402E-3</v>
      </c>
      <c r="I296" s="5">
        <v>7.4000000000002996E-3</v>
      </c>
    </row>
    <row r="297" spans="1:9" x14ac:dyDescent="0.2">
      <c r="A297" s="6" t="s">
        <v>30</v>
      </c>
      <c r="B297" s="7">
        <v>150.69999999999999</v>
      </c>
      <c r="C297" s="7">
        <v>154.81</v>
      </c>
      <c r="D297" s="7">
        <v>187.42</v>
      </c>
      <c r="E297" s="7">
        <v>195.88</v>
      </c>
      <c r="F297" s="7">
        <v>197.48</v>
      </c>
      <c r="G297" s="7">
        <v>209.54</v>
      </c>
      <c r="H297" s="7">
        <v>217.02</v>
      </c>
      <c r="I297" s="7">
        <v>204.02</v>
      </c>
    </row>
    <row r="301" spans="1:9" x14ac:dyDescent="0.2">
      <c r="A301" s="4" t="s">
        <v>51</v>
      </c>
      <c r="B301" s="1" t="s">
        <v>20</v>
      </c>
      <c r="C301" s="1" t="s">
        <v>16</v>
      </c>
      <c r="D301" s="1" t="s">
        <v>18</v>
      </c>
      <c r="E301" s="1" t="s">
        <v>28</v>
      </c>
      <c r="F301" s="1" t="s">
        <v>22</v>
      </c>
      <c r="G301" s="1" t="s">
        <v>24</v>
      </c>
      <c r="H301" s="1" t="s">
        <v>29</v>
      </c>
      <c r="I301" s="1" t="s">
        <v>26</v>
      </c>
    </row>
    <row r="302" spans="1:9" x14ac:dyDescent="0.2">
      <c r="A302" s="2" t="s">
        <v>6</v>
      </c>
      <c r="B302" s="5">
        <v>0.26879999999999998</v>
      </c>
      <c r="C302" s="5">
        <v>0.30640000000000001</v>
      </c>
      <c r="D302" s="5">
        <v>0.27300000000000002</v>
      </c>
      <c r="E302" s="5">
        <v>0.26040000000000002</v>
      </c>
      <c r="F302" s="5">
        <v>0.25729999999999997</v>
      </c>
      <c r="G302" s="5">
        <v>0.2419</v>
      </c>
      <c r="H302" s="5">
        <v>0.22969999999999999</v>
      </c>
      <c r="I302" s="5">
        <v>0.2515</v>
      </c>
    </row>
    <row r="303" spans="1:9" x14ac:dyDescent="0.2">
      <c r="A303" s="2" t="s">
        <v>0</v>
      </c>
      <c r="B303" s="5">
        <v>0.1381</v>
      </c>
      <c r="C303" s="5">
        <v>0.12089999999999999</v>
      </c>
      <c r="D303" s="5">
        <v>0.1535</v>
      </c>
      <c r="E303" s="5">
        <v>0.15959999999999999</v>
      </c>
      <c r="F303" s="5">
        <v>0.16089999999999999</v>
      </c>
      <c r="G303" s="5">
        <v>0.16880000000000001</v>
      </c>
      <c r="H303" s="5">
        <v>0.17230000000000001</v>
      </c>
      <c r="I303" s="5">
        <v>0.1661</v>
      </c>
    </row>
    <row r="304" spans="1:9" x14ac:dyDescent="0.2">
      <c r="A304" s="2" t="s">
        <v>1</v>
      </c>
      <c r="B304" s="5">
        <v>0</v>
      </c>
      <c r="C304" s="5">
        <v>0</v>
      </c>
      <c r="D304" s="5">
        <v>0</v>
      </c>
      <c r="E304" s="5">
        <v>0</v>
      </c>
      <c r="F304" s="5">
        <v>0</v>
      </c>
      <c r="G304" s="5">
        <v>0</v>
      </c>
      <c r="H304" s="5">
        <v>0</v>
      </c>
      <c r="I304" s="5">
        <v>0</v>
      </c>
    </row>
    <row r="305" spans="1:9" x14ac:dyDescent="0.2">
      <c r="A305" s="2" t="s">
        <v>2</v>
      </c>
      <c r="B305" s="5">
        <v>8.3000000000000001E-3</v>
      </c>
      <c r="C305" s="5">
        <v>8.6999999999999994E-3</v>
      </c>
      <c r="D305" s="5">
        <v>8.6999999999999994E-3</v>
      </c>
      <c r="E305" s="5">
        <v>8.6E-3</v>
      </c>
      <c r="F305" s="5">
        <v>8.5000000000000006E-3</v>
      </c>
      <c r="G305" s="5">
        <v>8.3999999999999995E-3</v>
      </c>
      <c r="H305" s="5">
        <v>8.2000000000000007E-3</v>
      </c>
      <c r="I305" s="5">
        <v>8.5000000000000006E-3</v>
      </c>
    </row>
    <row r="306" spans="1:9" x14ac:dyDescent="0.2">
      <c r="A306" s="2" t="s">
        <v>3</v>
      </c>
      <c r="B306" s="5">
        <v>8.2799999999999999E-2</v>
      </c>
      <c r="C306" s="5">
        <v>7.6499999999999999E-2</v>
      </c>
      <c r="D306" s="5">
        <v>7.1099999999999997E-2</v>
      </c>
      <c r="E306" s="5">
        <v>7.0199999999999999E-2</v>
      </c>
      <c r="F306" s="5">
        <v>7.0000000000000007E-2</v>
      </c>
      <c r="G306" s="5">
        <v>6.88E-2</v>
      </c>
      <c r="H306" s="5">
        <v>7.0099999999999996E-2</v>
      </c>
      <c r="I306" s="5">
        <v>6.8699999999999997E-2</v>
      </c>
    </row>
    <row r="307" spans="1:9" x14ac:dyDescent="0.2">
      <c r="A307" s="3" t="s">
        <v>52</v>
      </c>
      <c r="B307" s="5">
        <v>0.1188</v>
      </c>
      <c r="C307" s="5">
        <v>0.114</v>
      </c>
      <c r="D307" s="5">
        <v>0.11650000000000001</v>
      </c>
      <c r="E307" s="5">
        <v>0.1172</v>
      </c>
      <c r="F307" s="5">
        <v>0.1174</v>
      </c>
      <c r="G307" s="5">
        <v>0.1183</v>
      </c>
      <c r="H307" s="5">
        <v>0.1198</v>
      </c>
      <c r="I307" s="5">
        <v>0.1172</v>
      </c>
    </row>
    <row r="308" spans="1:9" x14ac:dyDescent="0.2">
      <c r="A308" s="2" t="s">
        <v>7</v>
      </c>
      <c r="B308" s="5">
        <v>0</v>
      </c>
      <c r="C308" s="5">
        <v>0</v>
      </c>
      <c r="D308" s="5">
        <v>0</v>
      </c>
      <c r="E308" s="5">
        <v>0</v>
      </c>
      <c r="F308" s="5">
        <v>0</v>
      </c>
      <c r="G308" s="5">
        <v>0</v>
      </c>
      <c r="H308" s="5">
        <v>0</v>
      </c>
      <c r="I308" s="5">
        <v>0</v>
      </c>
    </row>
    <row r="309" spans="1:9" x14ac:dyDescent="0.2">
      <c r="A309" s="2" t="s">
        <v>8</v>
      </c>
      <c r="B309" s="5">
        <v>1.1299999999999999E-2</v>
      </c>
      <c r="C309" s="5">
        <v>1.04E-2</v>
      </c>
      <c r="D309" s="5">
        <v>1.01E-2</v>
      </c>
      <c r="E309" s="5">
        <v>1.01E-2</v>
      </c>
      <c r="F309" s="5">
        <v>0.01</v>
      </c>
      <c r="G309" s="5">
        <v>0.01</v>
      </c>
      <c r="H309" s="5">
        <v>9.9000000000000008E-3</v>
      </c>
      <c r="I309" s="5">
        <v>0.01</v>
      </c>
    </row>
    <row r="310" spans="1:9" x14ac:dyDescent="0.2">
      <c r="A310" s="2" t="s">
        <v>43</v>
      </c>
      <c r="B310" s="5">
        <v>3.15E-2</v>
      </c>
      <c r="C310" s="5">
        <v>2.8899999999999999E-2</v>
      </c>
      <c r="D310" s="5">
        <v>2.8299999999999999E-2</v>
      </c>
      <c r="E310" s="5">
        <v>2.81E-2</v>
      </c>
      <c r="F310" s="5">
        <v>2.8000000000000001E-2</v>
      </c>
      <c r="G310" s="5">
        <v>2.7900000000000001E-2</v>
      </c>
      <c r="H310" s="5">
        <v>2.7699999999999999E-2</v>
      </c>
      <c r="I310" s="5">
        <v>2.7799999999999998E-2</v>
      </c>
    </row>
    <row r="311" spans="1:9" x14ac:dyDescent="0.2">
      <c r="A311" s="2" t="s">
        <v>44</v>
      </c>
      <c r="B311" s="5">
        <v>3.15E-2</v>
      </c>
      <c r="C311" s="5">
        <v>2.8899999999999999E-2</v>
      </c>
      <c r="D311" s="5">
        <v>2.8299999999999999E-2</v>
      </c>
      <c r="E311" s="5">
        <v>2.81E-2</v>
      </c>
      <c r="F311" s="5">
        <v>2.8000000000000001E-2</v>
      </c>
      <c r="G311" s="5">
        <v>2.7900000000000001E-2</v>
      </c>
      <c r="H311" s="5">
        <v>2.7699999999999999E-2</v>
      </c>
      <c r="I311" s="5">
        <v>2.7799999999999998E-2</v>
      </c>
    </row>
    <row r="312" spans="1:9" x14ac:dyDescent="0.2">
      <c r="A312" s="2" t="s">
        <v>9</v>
      </c>
      <c r="B312" s="5">
        <v>1.7299999999999999E-2</v>
      </c>
      <c r="C312" s="5">
        <v>1.66E-2</v>
      </c>
      <c r="D312" s="5">
        <v>1.5800000000000002E-2</v>
      </c>
      <c r="E312" s="5">
        <v>1.5699999999999999E-2</v>
      </c>
      <c r="F312" s="5">
        <v>1.5599999999999999E-2</v>
      </c>
      <c r="G312" s="5">
        <v>1.54E-2</v>
      </c>
      <c r="H312" s="5">
        <v>1.5699999999999999E-2</v>
      </c>
      <c r="I312" s="5">
        <v>1.54E-2</v>
      </c>
    </row>
    <row r="313" spans="1:9" x14ac:dyDescent="0.2">
      <c r="A313" s="2" t="s">
        <v>10</v>
      </c>
      <c r="B313" s="5">
        <v>0</v>
      </c>
      <c r="C313" s="5">
        <v>0</v>
      </c>
      <c r="D313" s="5">
        <v>0</v>
      </c>
      <c r="E313" s="5">
        <v>0</v>
      </c>
      <c r="F313" s="5">
        <v>0</v>
      </c>
      <c r="G313" s="5">
        <v>0</v>
      </c>
      <c r="H313" s="5">
        <v>0</v>
      </c>
      <c r="I313" s="5">
        <v>0</v>
      </c>
    </row>
    <row r="314" spans="1:9" x14ac:dyDescent="0.2">
      <c r="A314" s="2" t="s">
        <v>11</v>
      </c>
      <c r="B314" s="5">
        <v>2.0000000000000001E-4</v>
      </c>
      <c r="C314" s="5">
        <v>2.0000000000000001E-4</v>
      </c>
      <c r="D314" s="5">
        <v>2.0000000000000001E-4</v>
      </c>
      <c r="E314" s="5">
        <v>2.0000000000000001E-4</v>
      </c>
      <c r="F314" s="5">
        <v>2.0000000000000001E-4</v>
      </c>
      <c r="G314" s="5">
        <v>2.0000000000000001E-4</v>
      </c>
      <c r="H314" s="5">
        <v>2.0000000000000001E-4</v>
      </c>
      <c r="I314" s="5">
        <v>2.0000000000000001E-4</v>
      </c>
    </row>
    <row r="315" spans="1:9" x14ac:dyDescent="0.2">
      <c r="A315" s="2" t="s">
        <v>45</v>
      </c>
      <c r="B315" s="5">
        <v>3.0000000000000001E-3</v>
      </c>
      <c r="C315" s="5">
        <v>2.8E-3</v>
      </c>
      <c r="D315" s="5">
        <v>2.8E-3</v>
      </c>
      <c r="E315" s="5">
        <v>2.8E-3</v>
      </c>
      <c r="F315" s="5">
        <v>2.8E-3</v>
      </c>
      <c r="G315" s="5">
        <v>2.8999999999999998E-3</v>
      </c>
      <c r="H315" s="5">
        <v>2.8E-3</v>
      </c>
      <c r="I315" s="5">
        <v>2.8999999999999998E-3</v>
      </c>
    </row>
    <row r="316" spans="1:9" x14ac:dyDescent="0.2">
      <c r="A316" s="2" t="s">
        <v>4</v>
      </c>
      <c r="B316" s="5">
        <v>0.17380000000000001</v>
      </c>
      <c r="C316" s="5">
        <v>0.17230000000000001</v>
      </c>
      <c r="D316" s="5">
        <v>0.16450000000000001</v>
      </c>
      <c r="E316" s="5">
        <v>0.1686</v>
      </c>
      <c r="F316" s="5">
        <v>0.1699</v>
      </c>
      <c r="G316" s="5">
        <v>0.17430000000000001</v>
      </c>
      <c r="H316" s="5">
        <v>0.1779</v>
      </c>
      <c r="I316" s="5">
        <v>0.1709</v>
      </c>
    </row>
    <row r="317" spans="1:9" x14ac:dyDescent="0.2">
      <c r="A317" s="2" t="s">
        <v>12</v>
      </c>
      <c r="B317" s="5">
        <v>5.8099999999999999E-2</v>
      </c>
      <c r="C317" s="5">
        <v>5.7000000000000002E-2</v>
      </c>
      <c r="D317" s="5">
        <v>6.1899999999999997E-2</v>
      </c>
      <c r="E317" s="5">
        <v>6.3200000000000006E-2</v>
      </c>
      <c r="F317" s="5">
        <v>6.3600000000000004E-2</v>
      </c>
      <c r="G317" s="5">
        <v>6.5000000000000002E-2</v>
      </c>
      <c r="H317" s="5">
        <v>6.6100000000000006E-2</v>
      </c>
      <c r="I317" s="5">
        <v>6.3799999999999996E-2</v>
      </c>
    </row>
    <row r="318" spans="1:9" x14ac:dyDescent="0.2">
      <c r="A318" s="2" t="s">
        <v>5</v>
      </c>
      <c r="B318" s="5">
        <v>4.0000000000000002E-4</v>
      </c>
      <c r="C318" s="5">
        <v>2.9999999999999997E-4</v>
      </c>
      <c r="D318" s="5">
        <v>4.0000000000000002E-4</v>
      </c>
      <c r="E318" s="5">
        <v>4.0000000000000002E-4</v>
      </c>
      <c r="F318" s="5">
        <v>4.0000000000000002E-4</v>
      </c>
      <c r="G318" s="5">
        <v>4.0000000000000002E-4</v>
      </c>
      <c r="H318" s="5">
        <v>4.0000000000000002E-4</v>
      </c>
      <c r="I318" s="5">
        <v>4.0000000000000002E-4</v>
      </c>
    </row>
    <row r="319" spans="1:9" x14ac:dyDescent="0.2">
      <c r="A319" s="2" t="s">
        <v>13</v>
      </c>
      <c r="B319" s="5">
        <v>3.3999999999999998E-3</v>
      </c>
      <c r="C319" s="5">
        <v>3.3E-3</v>
      </c>
      <c r="D319" s="5">
        <v>3.7000000000000002E-3</v>
      </c>
      <c r="E319" s="5">
        <v>3.7000000000000002E-3</v>
      </c>
      <c r="F319" s="5">
        <v>3.8E-3</v>
      </c>
      <c r="G319" s="5">
        <v>3.8999999999999998E-3</v>
      </c>
      <c r="H319" s="5">
        <v>3.8999999999999998E-3</v>
      </c>
      <c r="I319" s="5">
        <v>3.8E-3</v>
      </c>
    </row>
    <row r="320" spans="1:9" x14ac:dyDescent="0.2">
      <c r="A320" s="2" t="s">
        <v>14</v>
      </c>
      <c r="B320" s="5">
        <v>2.4199999999999999E-2</v>
      </c>
      <c r="C320" s="5">
        <v>2.3699999999999999E-2</v>
      </c>
      <c r="D320" s="5">
        <v>2.5899999999999999E-2</v>
      </c>
      <c r="E320" s="5">
        <v>2.64E-2</v>
      </c>
      <c r="F320" s="5">
        <v>2.6499999999999999E-2</v>
      </c>
      <c r="G320" s="5">
        <v>2.7099999999999999E-2</v>
      </c>
      <c r="H320" s="5">
        <v>2.75E-2</v>
      </c>
      <c r="I320" s="5">
        <v>2.6800000000000001E-2</v>
      </c>
    </row>
    <row r="321" spans="1:9" x14ac:dyDescent="0.2">
      <c r="A321" s="3" t="s">
        <v>15</v>
      </c>
      <c r="B321" s="5">
        <v>2.8500000000000299E-2</v>
      </c>
      <c r="C321" s="5">
        <v>2.9100000000000101E-2</v>
      </c>
      <c r="D321" s="5">
        <v>3.5299999999999998E-2</v>
      </c>
      <c r="E321" s="5">
        <v>3.6700000000000003E-2</v>
      </c>
      <c r="F321" s="5">
        <v>3.7100000000000001E-2</v>
      </c>
      <c r="G321" s="5">
        <v>3.8800000000000098E-2</v>
      </c>
      <c r="H321" s="5">
        <v>4.0100000000000101E-2</v>
      </c>
      <c r="I321" s="5">
        <v>3.8199999999999998E-2</v>
      </c>
    </row>
    <row r="322" spans="1:9" x14ac:dyDescent="0.2">
      <c r="A322" s="6" t="s">
        <v>30</v>
      </c>
      <c r="B322" s="7">
        <v>139.11000000000001</v>
      </c>
      <c r="C322" s="7">
        <v>142.99</v>
      </c>
      <c r="D322" s="7">
        <v>172.21</v>
      </c>
      <c r="E322" s="7">
        <v>178.87</v>
      </c>
      <c r="F322" s="7">
        <v>180.29</v>
      </c>
      <c r="G322" s="7">
        <v>189.87</v>
      </c>
      <c r="H322" s="7">
        <v>195.19</v>
      </c>
      <c r="I322" s="7">
        <v>186</v>
      </c>
    </row>
    <row r="326" spans="1:9" x14ac:dyDescent="0.2">
      <c r="A326" s="4" t="s">
        <v>46</v>
      </c>
      <c r="B326" s="1" t="s">
        <v>20</v>
      </c>
      <c r="C326" s="1" t="s">
        <v>16</v>
      </c>
      <c r="D326" s="1" t="s">
        <v>18</v>
      </c>
      <c r="E326" s="1" t="s">
        <v>28</v>
      </c>
      <c r="F326" s="1" t="s">
        <v>22</v>
      </c>
      <c r="G326" s="1" t="s">
        <v>24</v>
      </c>
      <c r="H326" s="1" t="s">
        <v>29</v>
      </c>
      <c r="I326" s="1" t="s">
        <v>26</v>
      </c>
    </row>
    <row r="327" spans="1:9" x14ac:dyDescent="0.2">
      <c r="A327" s="2" t="s">
        <v>6</v>
      </c>
      <c r="B327" s="5">
        <v>0.28029999999999999</v>
      </c>
      <c r="C327" s="5">
        <v>0.31809999999999999</v>
      </c>
      <c r="D327" s="5">
        <v>0.27800000000000002</v>
      </c>
      <c r="E327" s="5">
        <v>0.26519999999999999</v>
      </c>
      <c r="F327" s="5">
        <v>0.26200000000000001</v>
      </c>
      <c r="G327" s="5">
        <v>0.2465</v>
      </c>
      <c r="H327" s="5">
        <v>0.23569999999999999</v>
      </c>
      <c r="I327" s="5">
        <v>0.25629999999999997</v>
      </c>
    </row>
    <row r="328" spans="1:9" x14ac:dyDescent="0.2">
      <c r="A328" s="2" t="s">
        <v>0</v>
      </c>
      <c r="B328" s="5">
        <v>0.1439</v>
      </c>
      <c r="C328" s="5">
        <v>0.12540000000000001</v>
      </c>
      <c r="D328" s="5">
        <v>0.15620000000000001</v>
      </c>
      <c r="E328" s="5">
        <v>0.16239999999999999</v>
      </c>
      <c r="F328" s="5">
        <v>0.1636</v>
      </c>
      <c r="G328" s="5">
        <v>0.17180000000000001</v>
      </c>
      <c r="H328" s="5">
        <v>0.1767</v>
      </c>
      <c r="I328" s="5">
        <v>0.1691</v>
      </c>
    </row>
    <row r="329" spans="1:9" x14ac:dyDescent="0.2">
      <c r="A329" s="2" t="s">
        <v>1</v>
      </c>
      <c r="B329" s="5">
        <v>0</v>
      </c>
      <c r="C329" s="5">
        <v>0</v>
      </c>
      <c r="D329" s="5">
        <v>0</v>
      </c>
      <c r="E329" s="5">
        <v>0</v>
      </c>
      <c r="F329" s="5">
        <v>0</v>
      </c>
      <c r="G329" s="5">
        <v>0</v>
      </c>
      <c r="H329" s="5">
        <v>0</v>
      </c>
      <c r="I329" s="5">
        <v>0</v>
      </c>
    </row>
    <row r="330" spans="1:9" x14ac:dyDescent="0.2">
      <c r="A330" s="2" t="s">
        <v>2</v>
      </c>
      <c r="B330" s="5">
        <v>8.6999999999999994E-3</v>
      </c>
      <c r="C330" s="5">
        <v>9.1000000000000004E-3</v>
      </c>
      <c r="D330" s="5">
        <v>8.8999999999999999E-3</v>
      </c>
      <c r="E330" s="5">
        <v>8.6999999999999994E-3</v>
      </c>
      <c r="F330" s="5">
        <v>8.6999999999999994E-3</v>
      </c>
      <c r="G330" s="5">
        <v>8.5000000000000006E-3</v>
      </c>
      <c r="H330" s="5">
        <v>8.3999999999999995E-3</v>
      </c>
      <c r="I330" s="5">
        <v>8.6999999999999994E-3</v>
      </c>
    </row>
    <row r="331" spans="1:9" x14ac:dyDescent="0.2">
      <c r="A331" s="2" t="s">
        <v>3</v>
      </c>
      <c r="B331" s="5">
        <v>8.1000000000000003E-2</v>
      </c>
      <c r="C331" s="5">
        <v>7.7200000000000005E-2</v>
      </c>
      <c r="D331" s="5">
        <v>6.7100000000000007E-2</v>
      </c>
      <c r="E331" s="5">
        <v>6.6000000000000003E-2</v>
      </c>
      <c r="F331" s="5">
        <v>6.5699999999999995E-2</v>
      </c>
      <c r="G331" s="5">
        <v>6.4199999999999993E-2</v>
      </c>
      <c r="H331" s="5">
        <v>6.3299999999999995E-2</v>
      </c>
      <c r="I331" s="5">
        <v>6.4199999999999993E-2</v>
      </c>
    </row>
    <row r="332" spans="1:9" x14ac:dyDescent="0.2">
      <c r="A332" s="3" t="s">
        <v>52</v>
      </c>
      <c r="B332" s="5">
        <v>0.1268</v>
      </c>
      <c r="C332" s="5">
        <v>0.1217</v>
      </c>
      <c r="D332" s="5">
        <v>0.122</v>
      </c>
      <c r="E332" s="5">
        <v>0.12280000000000001</v>
      </c>
      <c r="F332" s="5">
        <v>0.1231</v>
      </c>
      <c r="G332" s="5">
        <v>0.1242</v>
      </c>
      <c r="H332" s="5">
        <v>0.125</v>
      </c>
      <c r="I332" s="5">
        <v>0.1229</v>
      </c>
    </row>
    <row r="333" spans="1:9" x14ac:dyDescent="0.2">
      <c r="A333" s="2" t="s">
        <v>7</v>
      </c>
      <c r="B333" s="5">
        <v>0</v>
      </c>
      <c r="C333" s="5">
        <v>0</v>
      </c>
      <c r="D333" s="5">
        <v>0</v>
      </c>
      <c r="E333" s="5">
        <v>0</v>
      </c>
      <c r="F333" s="5">
        <v>0</v>
      </c>
      <c r="G333" s="5">
        <v>0</v>
      </c>
      <c r="H333" s="5">
        <v>0</v>
      </c>
      <c r="I333" s="5">
        <v>0</v>
      </c>
    </row>
    <row r="334" spans="1:9" x14ac:dyDescent="0.2">
      <c r="A334" s="2" t="s">
        <v>8</v>
      </c>
      <c r="B334" s="5">
        <v>1.18E-2</v>
      </c>
      <c r="C334" s="5">
        <v>1.0800000000000001E-2</v>
      </c>
      <c r="D334" s="5">
        <v>1.03E-2</v>
      </c>
      <c r="E334" s="5">
        <v>1.0200000000000001E-2</v>
      </c>
      <c r="F334" s="5">
        <v>1.0200000000000001E-2</v>
      </c>
      <c r="G334" s="5">
        <v>1.0200000000000001E-2</v>
      </c>
      <c r="H334" s="5">
        <v>1.01E-2</v>
      </c>
      <c r="I334" s="5">
        <v>1.01E-2</v>
      </c>
    </row>
    <row r="335" spans="1:9" x14ac:dyDescent="0.2">
      <c r="A335" s="2" t="s">
        <v>43</v>
      </c>
      <c r="B335" s="5">
        <v>3.2899999999999999E-2</v>
      </c>
      <c r="C335" s="5">
        <v>0.03</v>
      </c>
      <c r="D335" s="5">
        <v>2.8799999999999999E-2</v>
      </c>
      <c r="E335" s="5">
        <v>2.86E-2</v>
      </c>
      <c r="F335" s="5">
        <v>2.8500000000000001E-2</v>
      </c>
      <c r="G335" s="5">
        <v>2.8400000000000002E-2</v>
      </c>
      <c r="H335" s="5">
        <v>2.8199999999999999E-2</v>
      </c>
      <c r="I335" s="5">
        <v>2.8299999999999999E-2</v>
      </c>
    </row>
    <row r="336" spans="1:9" x14ac:dyDescent="0.2">
      <c r="A336" s="2" t="s">
        <v>44</v>
      </c>
      <c r="B336" s="5">
        <v>3.2899999999999999E-2</v>
      </c>
      <c r="C336" s="5">
        <v>0.03</v>
      </c>
      <c r="D336" s="5">
        <v>2.8799999999999999E-2</v>
      </c>
      <c r="E336" s="5">
        <v>2.86E-2</v>
      </c>
      <c r="F336" s="5">
        <v>2.8500000000000001E-2</v>
      </c>
      <c r="G336" s="5">
        <v>2.8400000000000002E-2</v>
      </c>
      <c r="H336" s="5">
        <v>2.8199999999999999E-2</v>
      </c>
      <c r="I336" s="5">
        <v>2.8299999999999999E-2</v>
      </c>
    </row>
    <row r="337" spans="1:9" x14ac:dyDescent="0.2">
      <c r="A337" s="2" t="s">
        <v>9</v>
      </c>
      <c r="B337" s="5">
        <v>1.78E-2</v>
      </c>
      <c r="C337" s="5">
        <v>1.7000000000000001E-2</v>
      </c>
      <c r="D337" s="5">
        <v>1.5900000000000001E-2</v>
      </c>
      <c r="E337" s="5">
        <v>1.5699999999999999E-2</v>
      </c>
      <c r="F337" s="5">
        <v>1.5699999999999999E-2</v>
      </c>
      <c r="G337" s="5">
        <v>1.55E-2</v>
      </c>
      <c r="H337" s="5">
        <v>1.54E-2</v>
      </c>
      <c r="I337" s="5">
        <v>1.55E-2</v>
      </c>
    </row>
    <row r="338" spans="1:9" x14ac:dyDescent="0.2">
      <c r="A338" s="2" t="s">
        <v>10</v>
      </c>
      <c r="B338" s="5">
        <v>0</v>
      </c>
      <c r="C338" s="5">
        <v>0</v>
      </c>
      <c r="D338" s="5">
        <v>0</v>
      </c>
      <c r="E338" s="5">
        <v>0</v>
      </c>
      <c r="F338" s="5">
        <v>0</v>
      </c>
      <c r="G338" s="5">
        <v>0</v>
      </c>
      <c r="H338" s="5">
        <v>0</v>
      </c>
      <c r="I338" s="5">
        <v>0</v>
      </c>
    </row>
    <row r="339" spans="1:9" x14ac:dyDescent="0.2">
      <c r="A339" s="2" t="s">
        <v>11</v>
      </c>
      <c r="B339" s="5">
        <v>2.0000000000000001E-4</v>
      </c>
      <c r="C339" s="5">
        <v>1E-4</v>
      </c>
      <c r="D339" s="5">
        <v>1E-4</v>
      </c>
      <c r="E339" s="5">
        <v>1E-4</v>
      </c>
      <c r="F339" s="5">
        <v>1E-4</v>
      </c>
      <c r="G339" s="5">
        <v>1E-4</v>
      </c>
      <c r="H339" s="5">
        <v>1E-4</v>
      </c>
      <c r="I339" s="5">
        <v>1E-4</v>
      </c>
    </row>
    <row r="340" spans="1:9" x14ac:dyDescent="0.2">
      <c r="A340" s="2" t="s">
        <v>45</v>
      </c>
      <c r="B340" s="5">
        <v>3.0999999999999999E-3</v>
      </c>
      <c r="C340" s="5">
        <v>2.8E-3</v>
      </c>
      <c r="D340" s="5">
        <v>2.8999999999999998E-3</v>
      </c>
      <c r="E340" s="5">
        <v>2.8999999999999998E-3</v>
      </c>
      <c r="F340" s="5">
        <v>2.8E-3</v>
      </c>
      <c r="G340" s="5">
        <v>2.8999999999999998E-3</v>
      </c>
      <c r="H340" s="5">
        <v>2.8999999999999998E-3</v>
      </c>
      <c r="I340" s="5">
        <v>2.8999999999999998E-3</v>
      </c>
    </row>
    <row r="341" spans="1:9" x14ac:dyDescent="0.2">
      <c r="A341" s="2" t="s">
        <v>4</v>
      </c>
      <c r="B341" s="5">
        <v>0.15809999999999999</v>
      </c>
      <c r="C341" s="5">
        <v>0.15640000000000001</v>
      </c>
      <c r="D341" s="5">
        <v>0.1706</v>
      </c>
      <c r="E341" s="5">
        <v>0.17530000000000001</v>
      </c>
      <c r="F341" s="5">
        <v>0.1769</v>
      </c>
      <c r="G341" s="5">
        <v>0.18190000000000001</v>
      </c>
      <c r="H341" s="5">
        <v>0.18609999999999999</v>
      </c>
      <c r="I341" s="5">
        <v>0.1782</v>
      </c>
    </row>
    <row r="342" spans="1:9" x14ac:dyDescent="0.2">
      <c r="A342" s="2" t="s">
        <v>12</v>
      </c>
      <c r="B342" s="5">
        <v>5.6099999999999997E-2</v>
      </c>
      <c r="C342" s="5">
        <v>5.4800000000000001E-2</v>
      </c>
      <c r="D342" s="5">
        <v>5.8400000000000001E-2</v>
      </c>
      <c r="E342" s="5">
        <v>5.96E-2</v>
      </c>
      <c r="F342" s="5">
        <v>0.06</v>
      </c>
      <c r="G342" s="5">
        <v>6.13E-2</v>
      </c>
      <c r="H342" s="5">
        <v>6.2399999999999997E-2</v>
      </c>
      <c r="I342" s="5">
        <v>6.0199999999999997E-2</v>
      </c>
    </row>
    <row r="343" spans="1:9" x14ac:dyDescent="0.2">
      <c r="A343" s="2" t="s">
        <v>5</v>
      </c>
      <c r="B343" s="5">
        <v>2.0000000000000001E-4</v>
      </c>
      <c r="C343" s="5">
        <v>2.0000000000000001E-4</v>
      </c>
      <c r="D343" s="5">
        <v>2.0000000000000001E-4</v>
      </c>
      <c r="E343" s="5">
        <v>2.0000000000000001E-4</v>
      </c>
      <c r="F343" s="5">
        <v>2.0000000000000001E-4</v>
      </c>
      <c r="G343" s="5">
        <v>2.0000000000000001E-4</v>
      </c>
      <c r="H343" s="5">
        <v>2.0000000000000001E-4</v>
      </c>
      <c r="I343" s="5">
        <v>2.0000000000000001E-4</v>
      </c>
    </row>
    <row r="344" spans="1:9" x14ac:dyDescent="0.2">
      <c r="A344" s="2" t="s">
        <v>13</v>
      </c>
      <c r="B344" s="5">
        <v>3.2000000000000002E-3</v>
      </c>
      <c r="C344" s="5">
        <v>3.2000000000000002E-3</v>
      </c>
      <c r="D344" s="5">
        <v>3.3999999999999998E-3</v>
      </c>
      <c r="E344" s="5">
        <v>3.5000000000000001E-3</v>
      </c>
      <c r="F344" s="5">
        <v>3.5000000000000001E-3</v>
      </c>
      <c r="G344" s="5">
        <v>3.5999999999999999E-3</v>
      </c>
      <c r="H344" s="5">
        <v>3.7000000000000002E-3</v>
      </c>
      <c r="I344" s="5">
        <v>3.5999999999999999E-3</v>
      </c>
    </row>
    <row r="345" spans="1:9" x14ac:dyDescent="0.2">
      <c r="A345" s="2" t="s">
        <v>14</v>
      </c>
      <c r="B345" s="5">
        <v>2.1999999999999999E-2</v>
      </c>
      <c r="C345" s="5">
        <v>2.1499999999999998E-2</v>
      </c>
      <c r="D345" s="5">
        <v>2.3E-2</v>
      </c>
      <c r="E345" s="5">
        <v>2.3400000000000001E-2</v>
      </c>
      <c r="F345" s="5">
        <v>2.35E-2</v>
      </c>
      <c r="G345" s="5">
        <v>2.41E-2</v>
      </c>
      <c r="H345" s="5">
        <v>2.4500000000000001E-2</v>
      </c>
      <c r="I345" s="5">
        <v>2.3699999999999999E-2</v>
      </c>
    </row>
    <row r="346" spans="1:9" x14ac:dyDescent="0.2">
      <c r="A346" s="3" t="s">
        <v>15</v>
      </c>
      <c r="B346" s="5">
        <v>2.09999999999998E-2</v>
      </c>
      <c r="C346" s="5">
        <v>2.16999999999999E-2</v>
      </c>
      <c r="D346" s="5">
        <v>2.5399999999999898E-2</v>
      </c>
      <c r="E346" s="5">
        <v>2.6800000000000199E-2</v>
      </c>
      <c r="F346" s="5">
        <v>2.70000000000001E-2</v>
      </c>
      <c r="G346" s="5">
        <v>2.82000000000001E-2</v>
      </c>
      <c r="H346" s="5">
        <v>2.9100000000000101E-2</v>
      </c>
      <c r="I346" s="5">
        <v>2.77000000000001E-2</v>
      </c>
    </row>
    <row r="347" spans="1:9" x14ac:dyDescent="0.2">
      <c r="A347" s="6" t="s">
        <v>30</v>
      </c>
      <c r="B347" s="7">
        <v>145.07</v>
      </c>
      <c r="C347" s="7">
        <v>148.5</v>
      </c>
      <c r="D347" s="7">
        <v>175.34</v>
      </c>
      <c r="E347" s="7">
        <v>182.14</v>
      </c>
      <c r="F347" s="7">
        <v>183.57</v>
      </c>
      <c r="G347" s="7">
        <v>193.43</v>
      </c>
      <c r="H347" s="7">
        <v>200.15</v>
      </c>
      <c r="I347" s="7">
        <v>189.5</v>
      </c>
    </row>
    <row r="351" spans="1:9" x14ac:dyDescent="0.2">
      <c r="A351" s="4" t="s">
        <v>47</v>
      </c>
      <c r="B351" s="1" t="s">
        <v>20</v>
      </c>
      <c r="C351" s="1" t="s">
        <v>16</v>
      </c>
      <c r="D351" s="1" t="s">
        <v>18</v>
      </c>
      <c r="E351" s="1" t="s">
        <v>28</v>
      </c>
      <c r="F351" s="1" t="s">
        <v>22</v>
      </c>
      <c r="G351" s="1" t="s">
        <v>24</v>
      </c>
      <c r="H351" s="1" t="s">
        <v>29</v>
      </c>
      <c r="I351" s="1" t="s">
        <v>26</v>
      </c>
    </row>
    <row r="352" spans="1:9" x14ac:dyDescent="0.2">
      <c r="A352" s="2" t="s">
        <v>6</v>
      </c>
      <c r="B352" s="5">
        <v>0.26090000000000002</v>
      </c>
      <c r="C352" s="5">
        <v>0.29709999999999998</v>
      </c>
      <c r="D352" s="5">
        <v>0.25879999999999997</v>
      </c>
      <c r="E352" s="5">
        <v>0.2472</v>
      </c>
      <c r="F352" s="5">
        <v>0.24390000000000001</v>
      </c>
      <c r="G352" s="5">
        <v>0.2296</v>
      </c>
      <c r="H352" s="5">
        <v>0.21870000000000001</v>
      </c>
      <c r="I352" s="5">
        <v>0.2379</v>
      </c>
    </row>
    <row r="353" spans="1:9" x14ac:dyDescent="0.2">
      <c r="A353" s="2" t="s">
        <v>0</v>
      </c>
      <c r="B353" s="5">
        <v>0.1348</v>
      </c>
      <c r="C353" s="5">
        <v>0.11799999999999999</v>
      </c>
      <c r="D353" s="5">
        <v>0.1467</v>
      </c>
      <c r="E353" s="5">
        <v>0.15260000000000001</v>
      </c>
      <c r="F353" s="5">
        <v>0.15359999999999999</v>
      </c>
      <c r="G353" s="5">
        <v>0.16139999999999999</v>
      </c>
      <c r="H353" s="5">
        <v>0.1653</v>
      </c>
      <c r="I353" s="5">
        <v>0.1583</v>
      </c>
    </row>
    <row r="354" spans="1:9" x14ac:dyDescent="0.2">
      <c r="A354" s="2" t="s">
        <v>1</v>
      </c>
      <c r="B354" s="5">
        <v>0</v>
      </c>
      <c r="C354" s="5">
        <v>0</v>
      </c>
      <c r="D354" s="5">
        <v>0</v>
      </c>
      <c r="E354" s="5">
        <v>0</v>
      </c>
      <c r="F354" s="5">
        <v>0</v>
      </c>
      <c r="G354" s="5">
        <v>0</v>
      </c>
      <c r="H354" s="5">
        <v>0</v>
      </c>
      <c r="I354" s="5">
        <v>0</v>
      </c>
    </row>
    <row r="355" spans="1:9" x14ac:dyDescent="0.2">
      <c r="A355" s="2" t="s">
        <v>2</v>
      </c>
      <c r="B355" s="5">
        <v>8.0999999999999996E-3</v>
      </c>
      <c r="C355" s="5">
        <v>8.5000000000000006E-3</v>
      </c>
      <c r="D355" s="5">
        <v>8.3000000000000001E-3</v>
      </c>
      <c r="E355" s="5">
        <v>8.2000000000000007E-3</v>
      </c>
      <c r="F355" s="5">
        <v>8.0999999999999996E-3</v>
      </c>
      <c r="G355" s="5">
        <v>8.0000000000000002E-3</v>
      </c>
      <c r="H355" s="5">
        <v>7.7999999999999996E-3</v>
      </c>
      <c r="I355" s="5">
        <v>8.0999999999999996E-3</v>
      </c>
    </row>
    <row r="356" spans="1:9" x14ac:dyDescent="0.2">
      <c r="A356" s="2" t="s">
        <v>3</v>
      </c>
      <c r="B356" s="5">
        <v>0.104</v>
      </c>
      <c r="C356" s="5">
        <v>9.9599999999999994E-2</v>
      </c>
      <c r="D356" s="5">
        <v>9.11E-2</v>
      </c>
      <c r="E356" s="5">
        <v>9.0700000000000003E-2</v>
      </c>
      <c r="F356" s="5">
        <v>9.0700000000000003E-2</v>
      </c>
      <c r="G356" s="5">
        <v>9.0499999999999997E-2</v>
      </c>
      <c r="H356" s="5">
        <v>9.0700000000000003E-2</v>
      </c>
      <c r="I356" s="5">
        <v>9.01E-2</v>
      </c>
    </row>
    <row r="357" spans="1:9" x14ac:dyDescent="0.2">
      <c r="A357" s="3" t="s">
        <v>52</v>
      </c>
      <c r="B357" s="5">
        <v>0.12790000000000001</v>
      </c>
      <c r="C357" s="5">
        <v>0.1239</v>
      </c>
      <c r="D357" s="5">
        <v>0.1231</v>
      </c>
      <c r="E357" s="5">
        <v>0.1239</v>
      </c>
      <c r="F357" s="5">
        <v>0.1242</v>
      </c>
      <c r="G357" s="5">
        <v>0.12509999999999999</v>
      </c>
      <c r="H357" s="5">
        <v>0.12609999999999999</v>
      </c>
      <c r="I357" s="5">
        <v>0.1241</v>
      </c>
    </row>
    <row r="358" spans="1:9" x14ac:dyDescent="0.2">
      <c r="A358" s="2" t="s">
        <v>7</v>
      </c>
      <c r="B358" s="5">
        <v>0</v>
      </c>
      <c r="C358" s="5">
        <v>0</v>
      </c>
      <c r="D358" s="5">
        <v>0</v>
      </c>
      <c r="E358" s="5">
        <v>0</v>
      </c>
      <c r="F358" s="5">
        <v>0</v>
      </c>
      <c r="G358" s="5">
        <v>0</v>
      </c>
      <c r="H358" s="5">
        <v>0</v>
      </c>
      <c r="I358" s="5">
        <v>0</v>
      </c>
    </row>
    <row r="359" spans="1:9" x14ac:dyDescent="0.2">
      <c r="A359" s="2" t="s">
        <v>8</v>
      </c>
      <c r="B359" s="5">
        <v>1.12E-2</v>
      </c>
      <c r="C359" s="5">
        <v>1.0200000000000001E-2</v>
      </c>
      <c r="D359" s="5">
        <v>9.5999999999999992E-3</v>
      </c>
      <c r="E359" s="5">
        <v>9.5999999999999992E-3</v>
      </c>
      <c r="F359" s="5">
        <v>9.5999999999999992E-3</v>
      </c>
      <c r="G359" s="5">
        <v>9.4999999999999998E-3</v>
      </c>
      <c r="H359" s="5">
        <v>9.4000000000000004E-3</v>
      </c>
      <c r="I359" s="5">
        <v>9.4999999999999998E-3</v>
      </c>
    </row>
    <row r="360" spans="1:9" x14ac:dyDescent="0.2">
      <c r="A360" s="2" t="s">
        <v>43</v>
      </c>
      <c r="B360" s="5">
        <v>3.1099999999999999E-2</v>
      </c>
      <c r="C360" s="5">
        <v>2.86E-2</v>
      </c>
      <c r="D360" s="5">
        <v>2.69E-2</v>
      </c>
      <c r="E360" s="5">
        <v>2.6800000000000001E-2</v>
      </c>
      <c r="F360" s="5">
        <v>2.6700000000000002E-2</v>
      </c>
      <c r="G360" s="5">
        <v>2.6599999999999999E-2</v>
      </c>
      <c r="H360" s="5">
        <v>2.63E-2</v>
      </c>
      <c r="I360" s="5">
        <v>2.64E-2</v>
      </c>
    </row>
    <row r="361" spans="1:9" x14ac:dyDescent="0.2">
      <c r="A361" s="2" t="s">
        <v>44</v>
      </c>
      <c r="B361" s="5">
        <v>3.1099999999999999E-2</v>
      </c>
      <c r="C361" s="5">
        <v>2.86E-2</v>
      </c>
      <c r="D361" s="5">
        <v>2.69E-2</v>
      </c>
      <c r="E361" s="5">
        <v>2.6800000000000001E-2</v>
      </c>
      <c r="F361" s="5">
        <v>2.6700000000000002E-2</v>
      </c>
      <c r="G361" s="5">
        <v>2.6599999999999999E-2</v>
      </c>
      <c r="H361" s="5">
        <v>2.63E-2</v>
      </c>
      <c r="I361" s="5">
        <v>2.64E-2</v>
      </c>
    </row>
    <row r="362" spans="1:9" x14ac:dyDescent="0.2">
      <c r="A362" s="2" t="s">
        <v>9</v>
      </c>
      <c r="B362" s="5">
        <v>1.89E-2</v>
      </c>
      <c r="C362" s="5">
        <v>1.8200000000000001E-2</v>
      </c>
      <c r="D362" s="5">
        <v>1.6400000000000001E-2</v>
      </c>
      <c r="E362" s="5">
        <v>1.6299999999999999E-2</v>
      </c>
      <c r="F362" s="5">
        <v>1.6299999999999999E-2</v>
      </c>
      <c r="G362" s="5">
        <v>1.61E-2</v>
      </c>
      <c r="H362" s="5">
        <v>1.6E-2</v>
      </c>
      <c r="I362" s="5">
        <v>1.6E-2</v>
      </c>
    </row>
    <row r="363" spans="1:9" x14ac:dyDescent="0.2">
      <c r="A363" s="2" t="s">
        <v>10</v>
      </c>
      <c r="B363" s="5">
        <v>0</v>
      </c>
      <c r="C363" s="5">
        <v>0</v>
      </c>
      <c r="D363" s="5">
        <v>0</v>
      </c>
      <c r="E363" s="5">
        <v>0</v>
      </c>
      <c r="F363" s="5">
        <v>0</v>
      </c>
      <c r="G363" s="5">
        <v>0</v>
      </c>
      <c r="H363" s="5">
        <v>0</v>
      </c>
      <c r="I363" s="5">
        <v>0</v>
      </c>
    </row>
    <row r="364" spans="1:9" x14ac:dyDescent="0.2">
      <c r="A364" s="2" t="s">
        <v>11</v>
      </c>
      <c r="B364" s="5">
        <v>4.0000000000000002E-4</v>
      </c>
      <c r="C364" s="5">
        <v>4.0000000000000002E-4</v>
      </c>
      <c r="D364" s="5">
        <v>2.9999999999999997E-4</v>
      </c>
      <c r="E364" s="5">
        <v>2.9999999999999997E-4</v>
      </c>
      <c r="F364" s="5">
        <v>2.9999999999999997E-4</v>
      </c>
      <c r="G364" s="5">
        <v>2.9999999999999997E-4</v>
      </c>
      <c r="H364" s="5">
        <v>2.9999999999999997E-4</v>
      </c>
      <c r="I364" s="5">
        <v>2.9999999999999997E-4</v>
      </c>
    </row>
    <row r="365" spans="1:9" x14ac:dyDescent="0.2">
      <c r="A365" s="2" t="s">
        <v>45</v>
      </c>
      <c r="B365" s="5">
        <v>2.7000000000000001E-3</v>
      </c>
      <c r="C365" s="5">
        <v>2.5999999999999999E-3</v>
      </c>
      <c r="D365" s="5">
        <v>2.5999999999999999E-3</v>
      </c>
      <c r="E365" s="5">
        <v>2.5999999999999999E-3</v>
      </c>
      <c r="F365" s="5">
        <v>2.5999999999999999E-3</v>
      </c>
      <c r="G365" s="5">
        <v>2.5999999999999999E-3</v>
      </c>
      <c r="H365" s="5">
        <v>2.5999999999999999E-3</v>
      </c>
      <c r="I365" s="5">
        <v>2.5999999999999999E-3</v>
      </c>
    </row>
    <row r="366" spans="1:9" x14ac:dyDescent="0.2">
      <c r="A366" s="2" t="s">
        <v>4</v>
      </c>
      <c r="B366" s="5">
        <v>0.16320000000000001</v>
      </c>
      <c r="C366" s="5">
        <v>0.1608</v>
      </c>
      <c r="D366" s="5">
        <v>0.17730000000000001</v>
      </c>
      <c r="E366" s="5">
        <v>0.18099999999999999</v>
      </c>
      <c r="F366" s="5">
        <v>0.18260000000000001</v>
      </c>
      <c r="G366" s="5">
        <v>0.1865</v>
      </c>
      <c r="H366" s="5">
        <v>0.191</v>
      </c>
      <c r="I366" s="5">
        <v>0.18440000000000001</v>
      </c>
    </row>
    <row r="367" spans="1:9" x14ac:dyDescent="0.2">
      <c r="A367" s="2" t="s">
        <v>12</v>
      </c>
      <c r="B367" s="5">
        <v>6.7199999999999996E-2</v>
      </c>
      <c r="C367" s="5">
        <v>6.5299999999999997E-2</v>
      </c>
      <c r="D367" s="5">
        <v>6.9800000000000001E-2</v>
      </c>
      <c r="E367" s="5">
        <v>7.0900000000000005E-2</v>
      </c>
      <c r="F367" s="5">
        <v>7.1400000000000005E-2</v>
      </c>
      <c r="G367" s="5">
        <v>7.2499999999999995E-2</v>
      </c>
      <c r="H367" s="5">
        <v>7.3700000000000002E-2</v>
      </c>
      <c r="I367" s="5">
        <v>7.1800000000000003E-2</v>
      </c>
    </row>
    <row r="368" spans="1:9" x14ac:dyDescent="0.2">
      <c r="A368" s="2" t="s">
        <v>5</v>
      </c>
      <c r="B368" s="5">
        <v>2.0000000000000001E-4</v>
      </c>
      <c r="C368" s="5">
        <v>2.0000000000000001E-4</v>
      </c>
      <c r="D368" s="5">
        <v>2.0000000000000001E-4</v>
      </c>
      <c r="E368" s="5">
        <v>2.0000000000000001E-4</v>
      </c>
      <c r="F368" s="5">
        <v>2.0000000000000001E-4</v>
      </c>
      <c r="G368" s="5">
        <v>2.0000000000000001E-4</v>
      </c>
      <c r="H368" s="5">
        <v>2.0000000000000001E-4</v>
      </c>
      <c r="I368" s="5">
        <v>2.0000000000000001E-4</v>
      </c>
    </row>
    <row r="369" spans="1:10" x14ac:dyDescent="0.2">
      <c r="A369" s="2" t="s">
        <v>13</v>
      </c>
      <c r="B369" s="5">
        <v>3.5999999999999999E-3</v>
      </c>
      <c r="C369" s="5">
        <v>3.5000000000000001E-3</v>
      </c>
      <c r="D369" s="5">
        <v>3.8999999999999998E-3</v>
      </c>
      <c r="E369" s="5">
        <v>3.8999999999999998E-3</v>
      </c>
      <c r="F369" s="5">
        <v>4.0000000000000001E-3</v>
      </c>
      <c r="G369" s="5">
        <v>4.0000000000000001E-3</v>
      </c>
      <c r="H369" s="5">
        <v>4.1000000000000003E-3</v>
      </c>
      <c r="I369" s="5">
        <v>4.0000000000000001E-3</v>
      </c>
    </row>
    <row r="370" spans="1:10" x14ac:dyDescent="0.2">
      <c r="A370" s="2" t="s">
        <v>14</v>
      </c>
      <c r="B370" s="5">
        <v>2.3300000000000001E-2</v>
      </c>
      <c r="C370" s="5">
        <v>2.2700000000000001E-2</v>
      </c>
      <c r="D370" s="5">
        <v>2.4199999999999999E-2</v>
      </c>
      <c r="E370" s="5">
        <v>2.4500000000000001E-2</v>
      </c>
      <c r="F370" s="5">
        <v>2.47E-2</v>
      </c>
      <c r="G370" s="5">
        <v>2.5100000000000001E-2</v>
      </c>
      <c r="H370" s="5">
        <v>2.5499999999999998E-2</v>
      </c>
      <c r="I370" s="5">
        <v>2.4799999999999999E-2</v>
      </c>
    </row>
    <row r="371" spans="1:10" x14ac:dyDescent="0.2">
      <c r="A371" s="3" t="s">
        <v>15</v>
      </c>
      <c r="B371" s="5">
        <v>1.13999999999999E-2</v>
      </c>
      <c r="C371" s="5">
        <v>1.18000000000001E-2</v>
      </c>
      <c r="D371" s="5">
        <v>1.3899999999999999E-2</v>
      </c>
      <c r="E371" s="5">
        <v>1.4500000000000001E-2</v>
      </c>
      <c r="F371" s="5">
        <v>1.44E-2</v>
      </c>
      <c r="G371" s="5">
        <v>1.5400000000000099E-2</v>
      </c>
      <c r="H371" s="5">
        <v>1.6E-2</v>
      </c>
      <c r="I371" s="5">
        <v>1.5100000000000001E-2</v>
      </c>
    </row>
    <row r="372" spans="1:10" x14ac:dyDescent="0.2">
      <c r="A372" s="6" t="s">
        <v>30</v>
      </c>
      <c r="B372" s="7">
        <v>135.12</v>
      </c>
      <c r="C372" s="7">
        <v>138.78</v>
      </c>
      <c r="D372" s="7">
        <v>163.31</v>
      </c>
      <c r="E372" s="7">
        <v>169.8</v>
      </c>
      <c r="F372" s="7">
        <v>170.92</v>
      </c>
      <c r="G372" s="7">
        <v>180.23</v>
      </c>
      <c r="H372" s="7">
        <v>185.73</v>
      </c>
      <c r="I372" s="7">
        <v>175.93</v>
      </c>
    </row>
    <row r="376" spans="1:10" x14ac:dyDescent="0.2">
      <c r="A376" s="4" t="s">
        <v>48</v>
      </c>
      <c r="B376" s="1" t="s">
        <v>20</v>
      </c>
      <c r="C376" s="1" t="s">
        <v>16</v>
      </c>
      <c r="D376" s="1" t="s">
        <v>18</v>
      </c>
      <c r="E376" s="1" t="s">
        <v>28</v>
      </c>
      <c r="F376" s="1" t="s">
        <v>22</v>
      </c>
      <c r="G376" s="1" t="s">
        <v>24</v>
      </c>
      <c r="H376" s="1" t="s">
        <v>29</v>
      </c>
      <c r="I376" s="1" t="s">
        <v>26</v>
      </c>
    </row>
    <row r="377" spans="1:10" x14ac:dyDescent="0.2">
      <c r="A377" s="2" t="s">
        <v>6</v>
      </c>
      <c r="B377" s="5">
        <v>0.2707</v>
      </c>
      <c r="C377" s="5">
        <v>0.30680000000000002</v>
      </c>
      <c r="D377" s="5">
        <v>0.26939999999999997</v>
      </c>
      <c r="E377" s="5">
        <v>0.2586</v>
      </c>
      <c r="F377" s="5">
        <v>0.25509999999999999</v>
      </c>
      <c r="G377" s="5">
        <v>0.24049999999999999</v>
      </c>
      <c r="H377" s="5">
        <v>0.2293</v>
      </c>
      <c r="I377" s="5">
        <v>0.24890000000000001</v>
      </c>
      <c r="J377" s="5"/>
    </row>
    <row r="378" spans="1:10" x14ac:dyDescent="0.2">
      <c r="A378" s="2" t="s">
        <v>0</v>
      </c>
      <c r="B378" s="5">
        <v>0.13980000000000001</v>
      </c>
      <c r="C378" s="5">
        <v>0.1217</v>
      </c>
      <c r="D378" s="5">
        <v>0.1525</v>
      </c>
      <c r="E378" s="5">
        <v>0.1595</v>
      </c>
      <c r="F378" s="5">
        <v>0.1605</v>
      </c>
      <c r="G378" s="5">
        <v>0.16889999999999999</v>
      </c>
      <c r="H378" s="5">
        <v>0.17319999999999999</v>
      </c>
      <c r="I378" s="5">
        <v>0.1656</v>
      </c>
      <c r="J378" s="5"/>
    </row>
    <row r="379" spans="1:10" x14ac:dyDescent="0.2">
      <c r="A379" s="2" t="s">
        <v>1</v>
      </c>
      <c r="B379" s="5">
        <v>0</v>
      </c>
      <c r="C379" s="5">
        <v>0</v>
      </c>
      <c r="D379" s="5">
        <v>0</v>
      </c>
      <c r="E379" s="5">
        <v>0</v>
      </c>
      <c r="F379" s="5">
        <v>0</v>
      </c>
      <c r="G379" s="5">
        <v>0</v>
      </c>
      <c r="H379" s="5">
        <v>0</v>
      </c>
      <c r="I379" s="5">
        <v>0</v>
      </c>
      <c r="J379" s="5"/>
    </row>
    <row r="380" spans="1:10" x14ac:dyDescent="0.2">
      <c r="A380" s="2" t="s">
        <v>2</v>
      </c>
      <c r="B380" s="5">
        <v>8.3999999999999995E-3</v>
      </c>
      <c r="C380" s="5">
        <v>8.6999999999999994E-3</v>
      </c>
      <c r="D380" s="5">
        <v>8.6E-3</v>
      </c>
      <c r="E380" s="5">
        <v>8.5000000000000006E-3</v>
      </c>
      <c r="F380" s="5">
        <v>8.5000000000000006E-3</v>
      </c>
      <c r="G380" s="5">
        <v>8.3999999999999995E-3</v>
      </c>
      <c r="H380" s="5">
        <v>8.2000000000000007E-3</v>
      </c>
      <c r="I380" s="5">
        <v>8.5000000000000006E-3</v>
      </c>
      <c r="J380" s="5"/>
    </row>
    <row r="381" spans="1:10" x14ac:dyDescent="0.2">
      <c r="A381" s="2" t="s">
        <v>3</v>
      </c>
      <c r="B381" s="5">
        <v>9.7799999999999998E-2</v>
      </c>
      <c r="C381" s="5">
        <v>9.4100000000000003E-2</v>
      </c>
      <c r="D381" s="5">
        <v>8.2600000000000007E-2</v>
      </c>
      <c r="E381" s="5">
        <v>8.1100000000000005E-2</v>
      </c>
      <c r="F381" s="5">
        <v>8.09E-2</v>
      </c>
      <c r="G381" s="5">
        <v>7.9899999999999999E-2</v>
      </c>
      <c r="H381" s="5">
        <v>7.9500000000000001E-2</v>
      </c>
      <c r="I381" s="5">
        <v>7.9600000000000004E-2</v>
      </c>
      <c r="J381" s="5"/>
    </row>
    <row r="382" spans="1:10" x14ac:dyDescent="0.2">
      <c r="A382" s="3" t="s">
        <v>52</v>
      </c>
      <c r="B382" s="5">
        <v>0.1288</v>
      </c>
      <c r="C382" s="5">
        <v>0.12470000000000001</v>
      </c>
      <c r="D382" s="5">
        <v>0.12379999999999999</v>
      </c>
      <c r="E382" s="5">
        <v>0.1244</v>
      </c>
      <c r="F382" s="5">
        <v>0.12479999999999999</v>
      </c>
      <c r="G382" s="5">
        <v>0.1258</v>
      </c>
      <c r="H382" s="5">
        <v>0.12690000000000001</v>
      </c>
      <c r="I382" s="5">
        <v>0.12470000000000001</v>
      </c>
      <c r="J382" s="5"/>
    </row>
    <row r="383" spans="1:10" x14ac:dyDescent="0.2">
      <c r="A383" s="2" t="s">
        <v>7</v>
      </c>
      <c r="B383" s="5">
        <v>0</v>
      </c>
      <c r="C383" s="5">
        <v>0</v>
      </c>
      <c r="D383" s="5">
        <v>0</v>
      </c>
      <c r="E383" s="5">
        <v>0</v>
      </c>
      <c r="F383" s="5">
        <v>0</v>
      </c>
      <c r="G383" s="5">
        <v>0</v>
      </c>
      <c r="H383" s="5">
        <v>0</v>
      </c>
      <c r="I383" s="5">
        <v>0</v>
      </c>
      <c r="J383" s="5"/>
    </row>
    <row r="384" spans="1:10" x14ac:dyDescent="0.2">
      <c r="A384" s="2" t="s">
        <v>8</v>
      </c>
      <c r="B384" s="5">
        <v>1.1599999999999999E-2</v>
      </c>
      <c r="C384" s="5">
        <v>1.06E-2</v>
      </c>
      <c r="D384" s="5">
        <v>1.01E-2</v>
      </c>
      <c r="E384" s="5">
        <v>0.01</v>
      </c>
      <c r="F384" s="5">
        <v>0.01</v>
      </c>
      <c r="G384" s="5">
        <v>0.01</v>
      </c>
      <c r="H384" s="5">
        <v>9.9000000000000008E-3</v>
      </c>
      <c r="I384" s="5">
        <v>9.9000000000000008E-3</v>
      </c>
      <c r="J384" s="5"/>
    </row>
    <row r="385" spans="1:10" x14ac:dyDescent="0.2">
      <c r="A385" s="2" t="s">
        <v>43</v>
      </c>
      <c r="B385" s="5">
        <v>3.2500000000000001E-2</v>
      </c>
      <c r="C385" s="5">
        <v>2.9700000000000001E-2</v>
      </c>
      <c r="D385" s="5">
        <v>2.81E-2</v>
      </c>
      <c r="E385" s="5">
        <v>2.8000000000000001E-2</v>
      </c>
      <c r="F385" s="5">
        <v>2.7900000000000001E-2</v>
      </c>
      <c r="G385" s="5">
        <v>2.7799999999999998E-2</v>
      </c>
      <c r="H385" s="5">
        <v>2.75E-2</v>
      </c>
      <c r="I385" s="5">
        <v>2.76E-2</v>
      </c>
      <c r="J385" s="5"/>
    </row>
    <row r="386" spans="1:10" x14ac:dyDescent="0.2">
      <c r="A386" s="2" t="s">
        <v>44</v>
      </c>
      <c r="B386" s="5">
        <v>3.2500000000000001E-2</v>
      </c>
      <c r="C386" s="5">
        <v>2.9700000000000001E-2</v>
      </c>
      <c r="D386" s="5">
        <v>2.81E-2</v>
      </c>
      <c r="E386" s="5">
        <v>2.8000000000000001E-2</v>
      </c>
      <c r="F386" s="5">
        <v>2.7900000000000001E-2</v>
      </c>
      <c r="G386" s="5">
        <v>2.7799999999999998E-2</v>
      </c>
      <c r="H386" s="5">
        <v>2.75E-2</v>
      </c>
      <c r="I386" s="5">
        <v>2.76E-2</v>
      </c>
      <c r="J386" s="5"/>
    </row>
    <row r="387" spans="1:10" x14ac:dyDescent="0.2">
      <c r="A387" s="2" t="s">
        <v>9</v>
      </c>
      <c r="B387" s="5">
        <v>1.9800000000000002E-2</v>
      </c>
      <c r="C387" s="5">
        <v>1.9E-2</v>
      </c>
      <c r="D387" s="5">
        <v>1.7100000000000001E-2</v>
      </c>
      <c r="E387" s="5">
        <v>1.6899999999999998E-2</v>
      </c>
      <c r="F387" s="5">
        <v>1.6899999999999998E-2</v>
      </c>
      <c r="G387" s="5">
        <v>1.67E-2</v>
      </c>
      <c r="H387" s="5">
        <v>1.66E-2</v>
      </c>
      <c r="I387" s="5">
        <v>1.66E-2</v>
      </c>
      <c r="J387" s="5"/>
    </row>
    <row r="388" spans="1:10" x14ac:dyDescent="0.2">
      <c r="A388" s="2" t="s">
        <v>10</v>
      </c>
      <c r="B388" s="5">
        <v>0</v>
      </c>
      <c r="C388" s="5">
        <v>0</v>
      </c>
      <c r="D388" s="5">
        <v>0</v>
      </c>
      <c r="E388" s="5">
        <v>0</v>
      </c>
      <c r="F388" s="5">
        <v>0</v>
      </c>
      <c r="G388" s="5">
        <v>0</v>
      </c>
      <c r="H388" s="5">
        <v>0</v>
      </c>
      <c r="I388" s="5">
        <v>0</v>
      </c>
      <c r="J388" s="5"/>
    </row>
    <row r="389" spans="1:10" x14ac:dyDescent="0.2">
      <c r="A389" s="2" t="s">
        <v>11</v>
      </c>
      <c r="B389" s="5">
        <v>2.9999999999999997E-4</v>
      </c>
      <c r="C389" s="5">
        <v>2.9999999999999997E-4</v>
      </c>
      <c r="D389" s="5">
        <v>2.9999999999999997E-4</v>
      </c>
      <c r="E389" s="5">
        <v>2.9999999999999997E-4</v>
      </c>
      <c r="F389" s="5">
        <v>2.9999999999999997E-4</v>
      </c>
      <c r="G389" s="5">
        <v>2.9999999999999997E-4</v>
      </c>
      <c r="H389" s="5">
        <v>2.9999999999999997E-4</v>
      </c>
      <c r="I389" s="5">
        <v>2.9999999999999997E-4</v>
      </c>
      <c r="J389" s="5"/>
    </row>
    <row r="390" spans="1:10" x14ac:dyDescent="0.2">
      <c r="A390" s="2" t="s">
        <v>45</v>
      </c>
      <c r="B390" s="5">
        <v>2.8E-3</v>
      </c>
      <c r="C390" s="5">
        <v>2.5999999999999999E-3</v>
      </c>
      <c r="D390" s="5">
        <v>2.5999999999999999E-3</v>
      </c>
      <c r="E390" s="5">
        <v>2.7000000000000001E-3</v>
      </c>
      <c r="F390" s="5">
        <v>2.7000000000000001E-3</v>
      </c>
      <c r="G390" s="5">
        <v>2.7000000000000001E-3</v>
      </c>
      <c r="H390" s="5">
        <v>2.7000000000000001E-3</v>
      </c>
      <c r="I390" s="5">
        <v>2.7000000000000001E-3</v>
      </c>
      <c r="J390" s="5"/>
    </row>
    <row r="391" spans="1:10" x14ac:dyDescent="0.2">
      <c r="A391" s="2" t="s">
        <v>4</v>
      </c>
      <c r="B391" s="5">
        <v>0.15490000000000001</v>
      </c>
      <c r="C391" s="5">
        <v>0.15379999999999999</v>
      </c>
      <c r="D391" s="5">
        <v>0.17019999999999999</v>
      </c>
      <c r="E391" s="5">
        <v>0.1734</v>
      </c>
      <c r="F391" s="5">
        <v>0.1754</v>
      </c>
      <c r="G391" s="5">
        <v>0.1797</v>
      </c>
      <c r="H391" s="5">
        <v>0.18440000000000001</v>
      </c>
      <c r="I391" s="5">
        <v>0.17760000000000001</v>
      </c>
      <c r="J391" s="5"/>
    </row>
    <row r="392" spans="1:10" x14ac:dyDescent="0.2">
      <c r="A392" s="2" t="s">
        <v>12</v>
      </c>
      <c r="B392" s="5">
        <v>6.5699999999999995E-2</v>
      </c>
      <c r="C392" s="5">
        <v>6.4199999999999993E-2</v>
      </c>
      <c r="D392" s="5">
        <v>6.8900000000000003E-2</v>
      </c>
      <c r="E392" s="5">
        <v>6.9900000000000004E-2</v>
      </c>
      <c r="F392" s="5">
        <v>7.0499999999999993E-2</v>
      </c>
      <c r="G392" s="5">
        <v>7.1800000000000003E-2</v>
      </c>
      <c r="H392" s="5">
        <v>7.3099999999999998E-2</v>
      </c>
      <c r="I392" s="5">
        <v>7.0999999999999994E-2</v>
      </c>
      <c r="J392" s="5"/>
    </row>
    <row r="393" spans="1:10" x14ac:dyDescent="0.2">
      <c r="A393" s="2" t="s">
        <v>5</v>
      </c>
      <c r="B393" s="5">
        <v>1E-4</v>
      </c>
      <c r="C393" s="5">
        <v>1E-4</v>
      </c>
      <c r="D393" s="5">
        <v>2.0000000000000001E-4</v>
      </c>
      <c r="E393" s="5">
        <v>2.0000000000000001E-4</v>
      </c>
      <c r="F393" s="5">
        <v>2.0000000000000001E-4</v>
      </c>
      <c r="G393" s="5">
        <v>2.0000000000000001E-4</v>
      </c>
      <c r="H393" s="5">
        <v>2.0000000000000001E-4</v>
      </c>
      <c r="I393" s="5">
        <v>2.0000000000000001E-4</v>
      </c>
      <c r="J393" s="5"/>
    </row>
    <row r="394" spans="1:10" x14ac:dyDescent="0.2">
      <c r="A394" s="2" t="s">
        <v>13</v>
      </c>
      <c r="B394" s="5">
        <v>3.5000000000000001E-3</v>
      </c>
      <c r="C394" s="5">
        <v>3.5000000000000001E-3</v>
      </c>
      <c r="D394" s="5">
        <v>3.8E-3</v>
      </c>
      <c r="E394" s="5">
        <v>3.8999999999999998E-3</v>
      </c>
      <c r="F394" s="5">
        <v>3.8999999999999998E-3</v>
      </c>
      <c r="G394" s="5">
        <v>4.0000000000000001E-3</v>
      </c>
      <c r="H394" s="5">
        <v>4.1000000000000003E-3</v>
      </c>
      <c r="I394" s="5">
        <v>4.0000000000000001E-3</v>
      </c>
      <c r="J394" s="5"/>
    </row>
    <row r="395" spans="1:10" x14ac:dyDescent="0.2">
      <c r="A395" s="2" t="s">
        <v>14</v>
      </c>
      <c r="B395" s="5">
        <v>2.2200000000000001E-2</v>
      </c>
      <c r="C395" s="5">
        <v>2.1600000000000001E-2</v>
      </c>
      <c r="D395" s="5">
        <v>2.3099999999999999E-2</v>
      </c>
      <c r="E395" s="5">
        <v>2.35E-2</v>
      </c>
      <c r="F395" s="5">
        <v>2.3699999999999999E-2</v>
      </c>
      <c r="G395" s="5">
        <v>2.41E-2</v>
      </c>
      <c r="H395" s="5">
        <v>2.4500000000000001E-2</v>
      </c>
      <c r="I395" s="5">
        <v>2.3900000000000001E-2</v>
      </c>
      <c r="J395" s="5"/>
    </row>
    <row r="396" spans="1:10" x14ac:dyDescent="0.2">
      <c r="A396" s="3" t="s">
        <v>15</v>
      </c>
      <c r="B396" s="5">
        <v>8.6000000000000503E-3</v>
      </c>
      <c r="C396" s="5">
        <v>8.90000000000013E-3</v>
      </c>
      <c r="D396" s="5">
        <v>1.0600000000000101E-2</v>
      </c>
      <c r="E396" s="5">
        <v>1.11E-2</v>
      </c>
      <c r="F396" s="5">
        <v>1.07999999999999E-2</v>
      </c>
      <c r="G396" s="5">
        <v>1.13999999999999E-2</v>
      </c>
      <c r="H396" s="5">
        <v>1.2100000000000199E-2</v>
      </c>
      <c r="I396" s="5">
        <v>1.1300000000000201E-2</v>
      </c>
      <c r="J396" s="5"/>
    </row>
    <row r="397" spans="1:10" x14ac:dyDescent="0.2">
      <c r="A397" s="6" t="s">
        <v>30</v>
      </c>
      <c r="B397" s="7">
        <v>140.21</v>
      </c>
      <c r="C397" s="7">
        <v>143.31</v>
      </c>
      <c r="D397" s="7">
        <v>170.01</v>
      </c>
      <c r="E397" s="7">
        <v>177.66</v>
      </c>
      <c r="F397" s="7">
        <v>178.8</v>
      </c>
      <c r="G397" s="7">
        <v>188.76</v>
      </c>
      <c r="H397" s="7">
        <v>194.76</v>
      </c>
      <c r="I397" s="7">
        <v>184.12</v>
      </c>
      <c r="J397" s="5"/>
    </row>
    <row r="401" spans="1:9" x14ac:dyDescent="0.2">
      <c r="A401" s="4" t="s">
        <v>49</v>
      </c>
      <c r="B401" s="1" t="s">
        <v>20</v>
      </c>
      <c r="C401" s="1" t="s">
        <v>16</v>
      </c>
      <c r="D401" s="1" t="s">
        <v>18</v>
      </c>
      <c r="E401" s="1" t="s">
        <v>28</v>
      </c>
      <c r="F401" s="1" t="s">
        <v>22</v>
      </c>
      <c r="G401" s="1" t="s">
        <v>24</v>
      </c>
      <c r="H401" s="1" t="s">
        <v>29</v>
      </c>
      <c r="I401" s="1" t="s">
        <v>26</v>
      </c>
    </row>
    <row r="402" spans="1:9" x14ac:dyDescent="0.2">
      <c r="A402" s="2" t="s">
        <v>6</v>
      </c>
      <c r="B402" s="5">
        <v>0.2863</v>
      </c>
      <c r="C402" s="5">
        <v>0.32540000000000002</v>
      </c>
      <c r="D402" s="5">
        <v>0.28889999999999999</v>
      </c>
      <c r="E402" s="5">
        <v>0.27650000000000002</v>
      </c>
      <c r="F402" s="5">
        <v>0.27439999999999998</v>
      </c>
      <c r="G402" s="5">
        <v>0.25900000000000001</v>
      </c>
      <c r="H402" s="5">
        <v>0.24879999999999999</v>
      </c>
      <c r="I402" s="5">
        <v>0.26800000000000002</v>
      </c>
    </row>
    <row r="403" spans="1:9" x14ac:dyDescent="0.2">
      <c r="A403" s="2" t="s">
        <v>0</v>
      </c>
      <c r="B403" s="5">
        <v>0.14729999999999999</v>
      </c>
      <c r="C403" s="5">
        <v>0.12859999999999999</v>
      </c>
      <c r="D403" s="5">
        <v>0.1628</v>
      </c>
      <c r="E403" s="5">
        <v>0.1699</v>
      </c>
      <c r="F403" s="5">
        <v>0.1719</v>
      </c>
      <c r="G403" s="5">
        <v>0.18110000000000001</v>
      </c>
      <c r="H403" s="5">
        <v>0.18709999999999999</v>
      </c>
      <c r="I403" s="5">
        <v>0.17749999999999999</v>
      </c>
    </row>
    <row r="404" spans="1:9" x14ac:dyDescent="0.2">
      <c r="A404" s="2" t="s">
        <v>1</v>
      </c>
      <c r="B404" s="5">
        <v>0</v>
      </c>
      <c r="C404" s="5">
        <v>0</v>
      </c>
      <c r="D404" s="5">
        <v>0</v>
      </c>
      <c r="E404" s="5">
        <v>0</v>
      </c>
      <c r="F404" s="5">
        <v>0</v>
      </c>
      <c r="G404" s="5">
        <v>0</v>
      </c>
      <c r="H404" s="5">
        <v>0</v>
      </c>
      <c r="I404" s="5">
        <v>0</v>
      </c>
    </row>
    <row r="405" spans="1:9" x14ac:dyDescent="0.2">
      <c r="A405" s="2" t="s">
        <v>2</v>
      </c>
      <c r="B405" s="5">
        <v>8.8000000000000005E-3</v>
      </c>
      <c r="C405" s="5">
        <v>9.2999999999999992E-3</v>
      </c>
      <c r="D405" s="5">
        <v>9.1999999999999998E-3</v>
      </c>
      <c r="E405" s="5">
        <v>9.1000000000000004E-3</v>
      </c>
      <c r="F405" s="5">
        <v>9.1000000000000004E-3</v>
      </c>
      <c r="G405" s="5">
        <v>8.9999999999999993E-3</v>
      </c>
      <c r="H405" s="5">
        <v>8.8999999999999999E-3</v>
      </c>
      <c r="I405" s="5">
        <v>9.1000000000000004E-3</v>
      </c>
    </row>
    <row r="406" spans="1:9" x14ac:dyDescent="0.2">
      <c r="A406" s="2" t="s">
        <v>3</v>
      </c>
      <c r="B406" s="5">
        <v>9.8500000000000004E-2</v>
      </c>
      <c r="C406" s="5">
        <v>9.4500000000000001E-2</v>
      </c>
      <c r="D406" s="5">
        <v>8.0399999999999999E-2</v>
      </c>
      <c r="E406" s="5">
        <v>7.8600000000000003E-2</v>
      </c>
      <c r="F406" s="5">
        <v>7.8299999999999995E-2</v>
      </c>
      <c r="G406" s="5">
        <v>7.6300000000000007E-2</v>
      </c>
      <c r="H406" s="5">
        <v>7.51E-2</v>
      </c>
      <c r="I406" s="5">
        <v>7.6300000000000007E-2</v>
      </c>
    </row>
    <row r="407" spans="1:9" x14ac:dyDescent="0.2">
      <c r="A407" s="3" t="s">
        <v>52</v>
      </c>
      <c r="B407" s="5">
        <v>0.12670000000000001</v>
      </c>
      <c r="C407" s="5">
        <v>0.122</v>
      </c>
      <c r="D407" s="5">
        <v>0.1203</v>
      </c>
      <c r="E407" s="5">
        <v>0.121</v>
      </c>
      <c r="F407" s="5">
        <v>0.1211</v>
      </c>
      <c r="G407" s="5">
        <v>0.122</v>
      </c>
      <c r="H407" s="5">
        <v>0.1227</v>
      </c>
      <c r="I407" s="5">
        <v>0.12089999999999999</v>
      </c>
    </row>
    <row r="408" spans="1:9" x14ac:dyDescent="0.2">
      <c r="A408" s="2" t="s">
        <v>7</v>
      </c>
      <c r="B408" s="5">
        <v>0</v>
      </c>
      <c r="C408" s="5">
        <v>0</v>
      </c>
      <c r="D408" s="5">
        <v>0</v>
      </c>
      <c r="E408" s="5">
        <v>0</v>
      </c>
      <c r="F408" s="5">
        <v>0</v>
      </c>
      <c r="G408" s="5">
        <v>0</v>
      </c>
      <c r="H408" s="5">
        <v>0</v>
      </c>
      <c r="I408" s="5">
        <v>0</v>
      </c>
    </row>
    <row r="409" spans="1:9" x14ac:dyDescent="0.2">
      <c r="A409" s="2" t="s">
        <v>8</v>
      </c>
      <c r="B409" s="5">
        <v>1.24E-2</v>
      </c>
      <c r="C409" s="5">
        <v>1.14E-2</v>
      </c>
      <c r="D409" s="5">
        <v>1.0800000000000001E-2</v>
      </c>
      <c r="E409" s="5">
        <v>1.0800000000000001E-2</v>
      </c>
      <c r="F409" s="5">
        <v>1.0800000000000001E-2</v>
      </c>
      <c r="G409" s="5">
        <v>1.0699999999999999E-2</v>
      </c>
      <c r="H409" s="5">
        <v>1.0699999999999999E-2</v>
      </c>
      <c r="I409" s="5">
        <v>1.0699999999999999E-2</v>
      </c>
    </row>
    <row r="410" spans="1:9" x14ac:dyDescent="0.2">
      <c r="A410" s="2" t="s">
        <v>43</v>
      </c>
      <c r="B410" s="5">
        <v>3.4599999999999999E-2</v>
      </c>
      <c r="C410" s="5">
        <v>3.1699999999999999E-2</v>
      </c>
      <c r="D410" s="5">
        <v>3.0200000000000001E-2</v>
      </c>
      <c r="E410" s="5">
        <v>0.03</v>
      </c>
      <c r="F410" s="5">
        <v>3.0099999999999998E-2</v>
      </c>
      <c r="G410" s="5">
        <v>2.9899999999999999E-2</v>
      </c>
      <c r="H410" s="5">
        <v>2.98E-2</v>
      </c>
      <c r="I410" s="5">
        <v>2.98E-2</v>
      </c>
    </row>
    <row r="411" spans="1:9" x14ac:dyDescent="0.2">
      <c r="A411" s="2" t="s">
        <v>44</v>
      </c>
      <c r="B411" s="5">
        <v>3.4599999999999999E-2</v>
      </c>
      <c r="C411" s="5">
        <v>3.1699999999999999E-2</v>
      </c>
      <c r="D411" s="5">
        <v>3.0200000000000001E-2</v>
      </c>
      <c r="E411" s="5">
        <v>0.03</v>
      </c>
      <c r="F411" s="5">
        <v>3.0099999999999998E-2</v>
      </c>
      <c r="G411" s="5">
        <v>2.9899999999999999E-2</v>
      </c>
      <c r="H411" s="5">
        <v>2.98E-2</v>
      </c>
      <c r="I411" s="5">
        <v>2.98E-2</v>
      </c>
    </row>
    <row r="412" spans="1:9" x14ac:dyDescent="0.2">
      <c r="A412" s="2" t="s">
        <v>9</v>
      </c>
      <c r="B412" s="5">
        <v>2.06E-2</v>
      </c>
      <c r="C412" s="5">
        <v>1.9699999999999999E-2</v>
      </c>
      <c r="D412" s="5">
        <v>1.7600000000000001E-2</v>
      </c>
      <c r="E412" s="5">
        <v>1.7399999999999999E-2</v>
      </c>
      <c r="F412" s="5">
        <v>1.7299999999999999E-2</v>
      </c>
      <c r="G412" s="5">
        <v>1.7000000000000001E-2</v>
      </c>
      <c r="H412" s="5">
        <v>1.6899999999999998E-2</v>
      </c>
      <c r="I412" s="5">
        <v>1.7000000000000001E-2</v>
      </c>
    </row>
    <row r="413" spans="1:9" x14ac:dyDescent="0.2">
      <c r="A413" s="2" t="s">
        <v>10</v>
      </c>
      <c r="B413" s="5">
        <v>0</v>
      </c>
      <c r="C413" s="5">
        <v>0</v>
      </c>
      <c r="D413" s="5">
        <v>0</v>
      </c>
      <c r="E413" s="5">
        <v>0</v>
      </c>
      <c r="F413" s="5">
        <v>0</v>
      </c>
      <c r="G413" s="5">
        <v>0</v>
      </c>
      <c r="H413" s="5">
        <v>0</v>
      </c>
      <c r="I413" s="5">
        <v>0</v>
      </c>
    </row>
    <row r="414" spans="1:9" x14ac:dyDescent="0.2">
      <c r="A414" s="2" t="s">
        <v>11</v>
      </c>
      <c r="B414" s="5">
        <v>2.9999999999999997E-4</v>
      </c>
      <c r="C414" s="5">
        <v>2.0000000000000001E-4</v>
      </c>
      <c r="D414" s="5">
        <v>2.0000000000000001E-4</v>
      </c>
      <c r="E414" s="5">
        <v>2.0000000000000001E-4</v>
      </c>
      <c r="F414" s="5">
        <v>2.0000000000000001E-4</v>
      </c>
      <c r="G414" s="5">
        <v>2.0000000000000001E-4</v>
      </c>
      <c r="H414" s="5">
        <v>2.0000000000000001E-4</v>
      </c>
      <c r="I414" s="5">
        <v>2.0000000000000001E-4</v>
      </c>
    </row>
    <row r="415" spans="1:9" x14ac:dyDescent="0.2">
      <c r="A415" s="2" t="s">
        <v>45</v>
      </c>
      <c r="B415" s="5">
        <v>2.8999999999999998E-3</v>
      </c>
      <c r="C415" s="5">
        <v>2.7000000000000001E-3</v>
      </c>
      <c r="D415" s="5">
        <v>2.8E-3</v>
      </c>
      <c r="E415" s="5">
        <v>2.8E-3</v>
      </c>
      <c r="F415" s="5">
        <v>2.8E-3</v>
      </c>
      <c r="G415" s="5">
        <v>2.8E-3</v>
      </c>
      <c r="H415" s="5">
        <v>2.8999999999999998E-3</v>
      </c>
      <c r="I415" s="5">
        <v>2.8E-3</v>
      </c>
    </row>
    <row r="416" spans="1:9" x14ac:dyDescent="0.2">
      <c r="A416" s="2" t="s">
        <v>4</v>
      </c>
      <c r="B416" s="5">
        <v>0.1366</v>
      </c>
      <c r="C416" s="5">
        <v>0.1348</v>
      </c>
      <c r="D416" s="5">
        <v>0.15040000000000001</v>
      </c>
      <c r="E416" s="5">
        <v>0.15509999999999999</v>
      </c>
      <c r="F416" s="5">
        <v>0.15529999999999999</v>
      </c>
      <c r="G416" s="5">
        <v>0.16039999999999999</v>
      </c>
      <c r="H416" s="5">
        <v>0.16370000000000001</v>
      </c>
      <c r="I416" s="5">
        <v>0.158</v>
      </c>
    </row>
    <row r="417" spans="1:9" x14ac:dyDescent="0.2">
      <c r="A417" s="2" t="s">
        <v>12</v>
      </c>
      <c r="B417" s="5">
        <v>6.0600000000000001E-2</v>
      </c>
      <c r="C417" s="5">
        <v>5.8999999999999997E-2</v>
      </c>
      <c r="D417" s="5">
        <v>6.3899999999999998E-2</v>
      </c>
      <c r="E417" s="5">
        <v>6.54E-2</v>
      </c>
      <c r="F417" s="5">
        <v>6.5500000000000003E-2</v>
      </c>
      <c r="G417" s="5">
        <v>6.7199999999999996E-2</v>
      </c>
      <c r="H417" s="5">
        <v>6.83E-2</v>
      </c>
      <c r="I417" s="5">
        <v>6.6299999999999998E-2</v>
      </c>
    </row>
    <row r="418" spans="1:9" x14ac:dyDescent="0.2">
      <c r="A418" s="2" t="s">
        <v>5</v>
      </c>
      <c r="B418" s="5">
        <v>1E-4</v>
      </c>
      <c r="C418" s="5">
        <v>1E-4</v>
      </c>
      <c r="D418" s="5">
        <v>1E-4</v>
      </c>
      <c r="E418" s="5">
        <v>1E-4</v>
      </c>
      <c r="F418" s="5">
        <v>1E-4</v>
      </c>
      <c r="G418" s="5">
        <v>1E-4</v>
      </c>
      <c r="H418" s="5">
        <v>1E-4</v>
      </c>
      <c r="I418" s="5">
        <v>1E-4</v>
      </c>
    </row>
    <row r="419" spans="1:9" x14ac:dyDescent="0.2">
      <c r="A419" s="2" t="s">
        <v>13</v>
      </c>
      <c r="B419" s="5">
        <v>3.2000000000000002E-3</v>
      </c>
      <c r="C419" s="5">
        <v>3.0999999999999999E-3</v>
      </c>
      <c r="D419" s="5">
        <v>3.5000000000000001E-3</v>
      </c>
      <c r="E419" s="5">
        <v>3.5999999999999999E-3</v>
      </c>
      <c r="F419" s="5">
        <v>3.5999999999999999E-3</v>
      </c>
      <c r="G419" s="5">
        <v>3.7000000000000002E-3</v>
      </c>
      <c r="H419" s="5">
        <v>3.8E-3</v>
      </c>
      <c r="I419" s="5">
        <v>3.5999999999999999E-3</v>
      </c>
    </row>
    <row r="420" spans="1:9" x14ac:dyDescent="0.2">
      <c r="A420" s="2" t="s">
        <v>14</v>
      </c>
      <c r="B420" s="5">
        <v>2.0299999999999999E-2</v>
      </c>
      <c r="C420" s="5">
        <v>1.9699999999999999E-2</v>
      </c>
      <c r="D420" s="5">
        <v>2.12E-2</v>
      </c>
      <c r="E420" s="5">
        <v>2.1700000000000001E-2</v>
      </c>
      <c r="F420" s="5">
        <v>2.18E-2</v>
      </c>
      <c r="G420" s="5">
        <v>2.23E-2</v>
      </c>
      <c r="H420" s="5">
        <v>2.2700000000000001E-2</v>
      </c>
      <c r="I420" s="5">
        <v>2.1999999999999999E-2</v>
      </c>
    </row>
    <row r="421" spans="1:9" x14ac:dyDescent="0.2">
      <c r="A421" s="3" t="s">
        <v>15</v>
      </c>
      <c r="B421" s="5">
        <v>6.2000000000003198E-3</v>
      </c>
      <c r="C421" s="5">
        <v>6.1000000000001097E-3</v>
      </c>
      <c r="D421" s="5">
        <v>7.5000000000001697E-3</v>
      </c>
      <c r="E421" s="5">
        <v>7.7999999999998097E-3</v>
      </c>
      <c r="F421" s="5">
        <v>7.5999999999999401E-3</v>
      </c>
      <c r="G421" s="5">
        <v>8.3999999999997393E-3</v>
      </c>
      <c r="H421" s="5">
        <v>8.4999999999996207E-3</v>
      </c>
      <c r="I421" s="5">
        <v>7.8999999999996903E-3</v>
      </c>
    </row>
    <row r="422" spans="1:9" x14ac:dyDescent="0.2">
      <c r="A422" s="6" t="s">
        <v>30</v>
      </c>
      <c r="B422" s="7">
        <v>148.34</v>
      </c>
      <c r="C422" s="7">
        <v>152</v>
      </c>
      <c r="D422" s="7">
        <v>182.32</v>
      </c>
      <c r="E422" s="7">
        <v>189.95</v>
      </c>
      <c r="F422" s="7">
        <v>192.33</v>
      </c>
      <c r="G422" s="7">
        <v>203.35</v>
      </c>
      <c r="H422" s="7">
        <v>211.31</v>
      </c>
      <c r="I422" s="7">
        <v>198.23</v>
      </c>
    </row>
    <row r="426" spans="1:9" x14ac:dyDescent="0.2">
      <c r="A426" s="4" t="s">
        <v>50</v>
      </c>
      <c r="B426" s="1" t="s">
        <v>20</v>
      </c>
      <c r="C426" s="1" t="s">
        <v>16</v>
      </c>
      <c r="D426" s="1" t="s">
        <v>18</v>
      </c>
      <c r="E426" s="1" t="s">
        <v>28</v>
      </c>
      <c r="F426" s="1" t="s">
        <v>22</v>
      </c>
      <c r="G426" s="1" t="s">
        <v>24</v>
      </c>
      <c r="H426" s="1" t="s">
        <v>29</v>
      </c>
      <c r="I426" s="1" t="s">
        <v>26</v>
      </c>
    </row>
    <row r="427" spans="1:9" x14ac:dyDescent="0.2">
      <c r="A427" s="2" t="s">
        <v>6</v>
      </c>
      <c r="B427" s="5">
        <v>0.28110000000000002</v>
      </c>
      <c r="C427" s="5">
        <v>0.3196</v>
      </c>
      <c r="D427" s="5">
        <v>0.28360000000000002</v>
      </c>
      <c r="E427" s="5">
        <v>0.2712</v>
      </c>
      <c r="F427" s="5">
        <v>0.26900000000000002</v>
      </c>
      <c r="G427" s="5">
        <v>0.25359999999999999</v>
      </c>
      <c r="H427" s="5">
        <v>0.24329999999999999</v>
      </c>
      <c r="I427" s="5">
        <v>0.2626</v>
      </c>
    </row>
    <row r="428" spans="1:9" x14ac:dyDescent="0.2">
      <c r="A428" s="2" t="s">
        <v>0</v>
      </c>
      <c r="B428" s="5">
        <v>0.1447</v>
      </c>
      <c r="C428" s="5">
        <v>0.12640000000000001</v>
      </c>
      <c r="D428" s="5">
        <v>0.16</v>
      </c>
      <c r="E428" s="5">
        <v>0.16669999999999999</v>
      </c>
      <c r="F428" s="5">
        <v>0.1686</v>
      </c>
      <c r="G428" s="5">
        <v>0.1774</v>
      </c>
      <c r="H428" s="5">
        <v>0.18310000000000001</v>
      </c>
      <c r="I428" s="5">
        <v>0.17399999999999999</v>
      </c>
    </row>
    <row r="429" spans="1:9" x14ac:dyDescent="0.2">
      <c r="A429" s="2" t="s">
        <v>1</v>
      </c>
      <c r="B429" s="5">
        <v>0</v>
      </c>
      <c r="C429" s="5">
        <v>0</v>
      </c>
      <c r="D429" s="5">
        <v>0</v>
      </c>
      <c r="E429" s="5">
        <v>0</v>
      </c>
      <c r="F429" s="5">
        <v>0</v>
      </c>
      <c r="G429" s="5">
        <v>0</v>
      </c>
      <c r="H429" s="5">
        <v>0</v>
      </c>
      <c r="I429" s="5">
        <v>0</v>
      </c>
    </row>
    <row r="430" spans="1:9" x14ac:dyDescent="0.2">
      <c r="A430" s="2" t="s">
        <v>2</v>
      </c>
      <c r="B430" s="5">
        <v>8.6999999999999994E-3</v>
      </c>
      <c r="C430" s="5">
        <v>9.1000000000000004E-3</v>
      </c>
      <c r="D430" s="5">
        <v>9.1000000000000004E-3</v>
      </c>
      <c r="E430" s="5">
        <v>8.8999999999999999E-3</v>
      </c>
      <c r="F430" s="5">
        <v>8.8999999999999999E-3</v>
      </c>
      <c r="G430" s="5">
        <v>8.8000000000000005E-3</v>
      </c>
      <c r="H430" s="5">
        <v>8.6999999999999994E-3</v>
      </c>
      <c r="I430" s="5">
        <v>8.8999999999999999E-3</v>
      </c>
    </row>
    <row r="431" spans="1:9" x14ac:dyDescent="0.2">
      <c r="A431" s="2" t="s">
        <v>3</v>
      </c>
      <c r="B431" s="5">
        <v>9.7699999999999995E-2</v>
      </c>
      <c r="C431" s="5">
        <v>9.3799999999999994E-2</v>
      </c>
      <c r="D431" s="5">
        <v>7.9500000000000001E-2</v>
      </c>
      <c r="E431" s="5">
        <v>7.7700000000000005E-2</v>
      </c>
      <c r="F431" s="5">
        <v>7.7299999999999994E-2</v>
      </c>
      <c r="G431" s="5">
        <v>7.5200000000000003E-2</v>
      </c>
      <c r="H431" s="5">
        <v>7.3999999999999996E-2</v>
      </c>
      <c r="I431" s="5">
        <v>7.5300000000000006E-2</v>
      </c>
    </row>
    <row r="432" spans="1:9" x14ac:dyDescent="0.2">
      <c r="A432" s="3" t="s">
        <v>52</v>
      </c>
      <c r="B432" s="5">
        <v>0.127</v>
      </c>
      <c r="C432" s="5">
        <v>0.12239999999999999</v>
      </c>
      <c r="D432" s="5">
        <v>0.1207</v>
      </c>
      <c r="E432" s="5">
        <v>0.1215</v>
      </c>
      <c r="F432" s="5">
        <v>0.1215</v>
      </c>
      <c r="G432" s="5">
        <v>0.1225</v>
      </c>
      <c r="H432" s="5">
        <v>0.1232</v>
      </c>
      <c r="I432" s="5">
        <v>0.12139999999999999</v>
      </c>
    </row>
    <row r="433" spans="1:9" x14ac:dyDescent="0.2">
      <c r="A433" s="2" t="s">
        <v>7</v>
      </c>
      <c r="B433" s="5">
        <v>0</v>
      </c>
      <c r="C433" s="5">
        <v>0</v>
      </c>
      <c r="D433" s="5">
        <v>0</v>
      </c>
      <c r="E433" s="5">
        <v>0</v>
      </c>
      <c r="F433" s="5">
        <v>0</v>
      </c>
      <c r="G433" s="5">
        <v>0</v>
      </c>
      <c r="H433" s="5">
        <v>0</v>
      </c>
      <c r="I433" s="5">
        <v>0</v>
      </c>
    </row>
    <row r="434" spans="1:9" x14ac:dyDescent="0.2">
      <c r="A434" s="2" t="s">
        <v>8</v>
      </c>
      <c r="B434" s="5">
        <v>1.2200000000000001E-2</v>
      </c>
      <c r="C434" s="5">
        <v>1.12E-2</v>
      </c>
      <c r="D434" s="5">
        <v>1.06E-2</v>
      </c>
      <c r="E434" s="5">
        <v>1.06E-2</v>
      </c>
      <c r="F434" s="5">
        <v>1.06E-2</v>
      </c>
      <c r="G434" s="5">
        <v>1.0500000000000001E-2</v>
      </c>
      <c r="H434" s="5">
        <v>1.0500000000000001E-2</v>
      </c>
      <c r="I434" s="5">
        <v>1.0500000000000001E-2</v>
      </c>
    </row>
    <row r="435" spans="1:9" x14ac:dyDescent="0.2">
      <c r="A435" s="2" t="s">
        <v>43</v>
      </c>
      <c r="B435" s="5">
        <v>3.4000000000000002E-2</v>
      </c>
      <c r="C435" s="5">
        <v>3.1199999999999999E-2</v>
      </c>
      <c r="D435" s="5">
        <v>2.9700000000000001E-2</v>
      </c>
      <c r="E435" s="5">
        <v>2.9499999999999998E-2</v>
      </c>
      <c r="F435" s="5">
        <v>2.9499999999999998E-2</v>
      </c>
      <c r="G435" s="5">
        <v>2.93E-2</v>
      </c>
      <c r="H435" s="5">
        <v>2.92E-2</v>
      </c>
      <c r="I435" s="5">
        <v>2.92E-2</v>
      </c>
    </row>
    <row r="436" spans="1:9" x14ac:dyDescent="0.2">
      <c r="A436" s="2" t="s">
        <v>44</v>
      </c>
      <c r="B436" s="5">
        <v>3.4000000000000002E-2</v>
      </c>
      <c r="C436" s="5">
        <v>3.1199999999999999E-2</v>
      </c>
      <c r="D436" s="5">
        <v>2.9700000000000001E-2</v>
      </c>
      <c r="E436" s="5">
        <v>2.9499999999999998E-2</v>
      </c>
      <c r="F436" s="5">
        <v>2.9499999999999998E-2</v>
      </c>
      <c r="G436" s="5">
        <v>2.93E-2</v>
      </c>
      <c r="H436" s="5">
        <v>2.92E-2</v>
      </c>
      <c r="I436" s="5">
        <v>2.92E-2</v>
      </c>
    </row>
    <row r="437" spans="1:9" x14ac:dyDescent="0.2">
      <c r="A437" s="2" t="s">
        <v>9</v>
      </c>
      <c r="B437" s="5">
        <v>2.0299999999999999E-2</v>
      </c>
      <c r="C437" s="5">
        <v>1.95E-2</v>
      </c>
      <c r="D437" s="5">
        <v>1.7299999999999999E-2</v>
      </c>
      <c r="E437" s="5">
        <v>1.7100000000000001E-2</v>
      </c>
      <c r="F437" s="5">
        <v>1.7000000000000001E-2</v>
      </c>
      <c r="G437" s="5">
        <v>1.6799999999999999E-2</v>
      </c>
      <c r="H437" s="5">
        <v>1.66E-2</v>
      </c>
      <c r="I437" s="5">
        <v>1.67E-2</v>
      </c>
    </row>
    <row r="438" spans="1:9" x14ac:dyDescent="0.2">
      <c r="A438" s="2" t="s">
        <v>10</v>
      </c>
      <c r="B438" s="5">
        <v>0</v>
      </c>
      <c r="C438" s="5">
        <v>0</v>
      </c>
      <c r="D438" s="5">
        <v>0</v>
      </c>
      <c r="E438" s="5">
        <v>0</v>
      </c>
      <c r="F438" s="5">
        <v>0</v>
      </c>
      <c r="G438" s="5">
        <v>0</v>
      </c>
      <c r="H438" s="5">
        <v>0</v>
      </c>
      <c r="I438" s="5">
        <v>0</v>
      </c>
    </row>
    <row r="439" spans="1:9" x14ac:dyDescent="0.2">
      <c r="A439" s="2" t="s">
        <v>11</v>
      </c>
      <c r="B439" s="5">
        <v>2.9999999999999997E-4</v>
      </c>
      <c r="C439" s="5">
        <v>2.9999999999999997E-4</v>
      </c>
      <c r="D439" s="5">
        <v>2.9999999999999997E-4</v>
      </c>
      <c r="E439" s="5">
        <v>2.9999999999999997E-4</v>
      </c>
      <c r="F439" s="5">
        <v>2.9999999999999997E-4</v>
      </c>
      <c r="G439" s="5">
        <v>2.9999999999999997E-4</v>
      </c>
      <c r="H439" s="5">
        <v>2.9999999999999997E-4</v>
      </c>
      <c r="I439" s="5">
        <v>2.9999999999999997E-4</v>
      </c>
    </row>
    <row r="440" spans="1:9" x14ac:dyDescent="0.2">
      <c r="A440" s="2" t="s">
        <v>45</v>
      </c>
      <c r="B440" s="5">
        <v>2.8E-3</v>
      </c>
      <c r="C440" s="5">
        <v>2.5999999999999999E-3</v>
      </c>
      <c r="D440" s="5">
        <v>2.7000000000000001E-3</v>
      </c>
      <c r="E440" s="5">
        <v>2.7000000000000001E-3</v>
      </c>
      <c r="F440" s="5">
        <v>2.7000000000000001E-3</v>
      </c>
      <c r="G440" s="5">
        <v>2.7000000000000001E-3</v>
      </c>
      <c r="H440" s="5">
        <v>2.7000000000000001E-3</v>
      </c>
      <c r="I440" s="5">
        <v>2.7000000000000001E-3</v>
      </c>
    </row>
    <row r="441" spans="1:9" x14ac:dyDescent="0.2">
      <c r="A441" s="2" t="s">
        <v>4</v>
      </c>
      <c r="B441" s="5">
        <v>0.1431</v>
      </c>
      <c r="C441" s="5">
        <v>0.14099999999999999</v>
      </c>
      <c r="D441" s="5">
        <v>0.15679999999999999</v>
      </c>
      <c r="E441" s="5">
        <v>0.1618</v>
      </c>
      <c r="F441" s="5">
        <v>0.16209999999999999</v>
      </c>
      <c r="G441" s="5">
        <v>0.16769999999999999</v>
      </c>
      <c r="H441" s="5">
        <v>0.1714</v>
      </c>
      <c r="I441" s="5">
        <v>0.1651</v>
      </c>
    </row>
    <row r="442" spans="1:9" x14ac:dyDescent="0.2">
      <c r="A442" s="2" t="s">
        <v>12</v>
      </c>
      <c r="B442" s="5">
        <v>6.2100000000000002E-2</v>
      </c>
      <c r="C442" s="5">
        <v>6.0400000000000002E-2</v>
      </c>
      <c r="D442" s="5">
        <v>6.5199999999999994E-2</v>
      </c>
      <c r="E442" s="5">
        <v>6.6799999999999998E-2</v>
      </c>
      <c r="F442" s="5">
        <v>6.6900000000000001E-2</v>
      </c>
      <c r="G442" s="5">
        <v>6.8599999999999994E-2</v>
      </c>
      <c r="H442" s="5">
        <v>6.9800000000000001E-2</v>
      </c>
      <c r="I442" s="5">
        <v>6.7699999999999996E-2</v>
      </c>
    </row>
    <row r="443" spans="1:9" x14ac:dyDescent="0.2">
      <c r="A443" s="2" t="s">
        <v>5</v>
      </c>
      <c r="B443" s="5">
        <v>1E-4</v>
      </c>
      <c r="C443" s="5">
        <v>1E-4</v>
      </c>
      <c r="D443" s="5">
        <v>1E-4</v>
      </c>
      <c r="E443" s="5">
        <v>1E-4</v>
      </c>
      <c r="F443" s="5">
        <v>1E-4</v>
      </c>
      <c r="G443" s="5">
        <v>1E-4</v>
      </c>
      <c r="H443" s="5">
        <v>1E-4</v>
      </c>
      <c r="I443" s="5">
        <v>1E-4</v>
      </c>
    </row>
    <row r="444" spans="1:9" x14ac:dyDescent="0.2">
      <c r="A444" s="2" t="s">
        <v>13</v>
      </c>
      <c r="B444" s="5">
        <v>3.3E-3</v>
      </c>
      <c r="C444" s="5">
        <v>3.2000000000000002E-3</v>
      </c>
      <c r="D444" s="5">
        <v>3.5000000000000001E-3</v>
      </c>
      <c r="E444" s="5">
        <v>3.7000000000000002E-3</v>
      </c>
      <c r="F444" s="5">
        <v>3.7000000000000002E-3</v>
      </c>
      <c r="G444" s="5">
        <v>3.8E-3</v>
      </c>
      <c r="H444" s="5">
        <v>3.8999999999999998E-3</v>
      </c>
      <c r="I444" s="5">
        <v>3.7000000000000002E-3</v>
      </c>
    </row>
    <row r="445" spans="1:9" x14ac:dyDescent="0.2">
      <c r="A445" s="2" t="s">
        <v>14</v>
      </c>
      <c r="B445" s="5">
        <v>2.1000000000000001E-2</v>
      </c>
      <c r="C445" s="5">
        <v>2.0400000000000001E-2</v>
      </c>
      <c r="D445" s="5">
        <v>2.1999999999999999E-2</v>
      </c>
      <c r="E445" s="5">
        <v>2.2499999999999999E-2</v>
      </c>
      <c r="F445" s="5">
        <v>2.2599999999999999E-2</v>
      </c>
      <c r="G445" s="5">
        <v>2.3099999999999999E-2</v>
      </c>
      <c r="H445" s="5">
        <v>2.35E-2</v>
      </c>
      <c r="I445" s="5">
        <v>2.2800000000000001E-2</v>
      </c>
    </row>
    <row r="446" spans="1:9" x14ac:dyDescent="0.2">
      <c r="A446" s="3" t="s">
        <v>15</v>
      </c>
      <c r="B446" s="5">
        <v>7.5999999999999401E-3</v>
      </c>
      <c r="C446" s="5">
        <v>7.6000000000001596E-3</v>
      </c>
      <c r="D446" s="5">
        <v>9.2000000000001005E-3</v>
      </c>
      <c r="E446" s="5">
        <v>9.4000000000000698E-3</v>
      </c>
      <c r="F446" s="5">
        <v>9.7000000000000402E-3</v>
      </c>
      <c r="G446" s="5">
        <v>1.0300000000000101E-2</v>
      </c>
      <c r="H446" s="5">
        <v>1.05000000000002E-2</v>
      </c>
      <c r="I446" s="5">
        <v>9.7999999999999199E-3</v>
      </c>
    </row>
    <row r="447" spans="1:9" x14ac:dyDescent="0.2">
      <c r="A447" s="6" t="s">
        <v>30</v>
      </c>
      <c r="B447" s="7">
        <v>145.63</v>
      </c>
      <c r="C447" s="7">
        <v>149.32</v>
      </c>
      <c r="D447" s="7">
        <v>179.03</v>
      </c>
      <c r="E447" s="7">
        <v>186.33</v>
      </c>
      <c r="F447" s="7">
        <v>188.61</v>
      </c>
      <c r="G447" s="7">
        <v>199.1</v>
      </c>
      <c r="H447" s="7">
        <v>206.65</v>
      </c>
      <c r="I447" s="7">
        <v>194.22</v>
      </c>
    </row>
    <row r="451" spans="1:17" x14ac:dyDescent="0.2">
      <c r="A451" s="4" t="s">
        <v>53</v>
      </c>
      <c r="B451" s="8" t="s">
        <v>19</v>
      </c>
      <c r="D451" s="8" t="s">
        <v>17</v>
      </c>
      <c r="E451" s="8" t="s">
        <v>27</v>
      </c>
      <c r="F451" s="8" t="s">
        <v>21</v>
      </c>
      <c r="G451" s="8" t="s">
        <v>23</v>
      </c>
      <c r="H451" s="8" t="s">
        <v>29</v>
      </c>
      <c r="N451" s="1"/>
      <c r="Q451" s="1"/>
    </row>
    <row r="452" spans="1:17" x14ac:dyDescent="0.2">
      <c r="A452" s="2" t="s">
        <v>6</v>
      </c>
      <c r="B452" s="5">
        <v>0.26155939652170002</v>
      </c>
      <c r="D452" s="5">
        <v>0.250127239354342</v>
      </c>
      <c r="E452" s="5">
        <v>0.235710995167525</v>
      </c>
      <c r="F452" s="5">
        <v>0.232129428341668</v>
      </c>
      <c r="G452" s="5">
        <v>0.213202828371818</v>
      </c>
      <c r="H452" s="5">
        <v>0.19932575467550301</v>
      </c>
      <c r="N452" s="5"/>
      <c r="Q452" s="5"/>
    </row>
    <row r="453" spans="1:17" x14ac:dyDescent="0.2">
      <c r="A453" s="2" t="s">
        <v>0</v>
      </c>
      <c r="B453" s="5">
        <v>0.13464392635516501</v>
      </c>
      <c r="D453" s="5">
        <v>0.140933628593511</v>
      </c>
      <c r="E453" s="5">
        <v>0.144711703029655</v>
      </c>
      <c r="F453" s="5">
        <v>0.14531385568193</v>
      </c>
      <c r="G453" s="5">
        <v>0.148888367435518</v>
      </c>
      <c r="H453" s="5">
        <v>0.14962080261697</v>
      </c>
      <c r="N453" s="5"/>
      <c r="Q453" s="5"/>
    </row>
    <row r="454" spans="1:17" x14ac:dyDescent="0.2">
      <c r="A454" s="2" t="s">
        <v>1</v>
      </c>
      <c r="B454" s="5">
        <v>0</v>
      </c>
      <c r="D454" s="5">
        <v>0</v>
      </c>
      <c r="E454" s="5">
        <v>0</v>
      </c>
      <c r="F454" s="5">
        <v>0</v>
      </c>
      <c r="G454" s="5">
        <v>0</v>
      </c>
      <c r="H454" s="5">
        <v>0</v>
      </c>
      <c r="N454" s="5"/>
      <c r="Q454" s="5"/>
    </row>
    <row r="455" spans="1:17" x14ac:dyDescent="0.2">
      <c r="A455" s="2" t="s">
        <v>2</v>
      </c>
      <c r="B455" s="5">
        <v>8.0857820995284893E-3</v>
      </c>
      <c r="D455" s="5">
        <v>7.9808340397522701E-3</v>
      </c>
      <c r="E455" s="5">
        <v>7.7637285346359702E-3</v>
      </c>
      <c r="F455" s="5">
        <v>7.7029241637471902E-3</v>
      </c>
      <c r="G455" s="5">
        <v>7.3896162409660404E-3</v>
      </c>
      <c r="H455" s="5">
        <v>7.1213583120914503E-3</v>
      </c>
      <c r="N455" s="5"/>
      <c r="Q455" s="5"/>
    </row>
    <row r="456" spans="1:17" x14ac:dyDescent="0.2">
      <c r="A456" s="2" t="s">
        <v>3</v>
      </c>
      <c r="B456" s="5">
        <v>0.13323689020249899</v>
      </c>
      <c r="D456" s="5">
        <v>0.134884992353447</v>
      </c>
      <c r="E456" s="5">
        <v>0.138444383598541</v>
      </c>
      <c r="F456" s="5">
        <v>0.14010835557978099</v>
      </c>
      <c r="G456" s="5">
        <v>0.14733934370347301</v>
      </c>
      <c r="H456" s="5">
        <v>0.15443405303532901</v>
      </c>
      <c r="N456" s="5"/>
      <c r="Q456" s="5"/>
    </row>
    <row r="457" spans="1:17" x14ac:dyDescent="0.2">
      <c r="A457" s="3" t="s">
        <v>52</v>
      </c>
      <c r="B457" s="5">
        <v>0.131208549035633</v>
      </c>
      <c r="D457" s="5">
        <v>0.131731562811576</v>
      </c>
      <c r="E457" s="5">
        <v>0.13406306303426199</v>
      </c>
      <c r="F457" s="5">
        <v>0.134814850077936</v>
      </c>
      <c r="G457" s="5">
        <v>0.138485837835814</v>
      </c>
      <c r="H457" s="5">
        <v>0.141718631096766</v>
      </c>
      <c r="N457" s="5"/>
      <c r="Q457" s="5"/>
    </row>
    <row r="458" spans="1:17" x14ac:dyDescent="0.2">
      <c r="A458" s="2" t="s">
        <v>7</v>
      </c>
      <c r="B458" s="5">
        <v>0</v>
      </c>
      <c r="D458" s="5">
        <v>0</v>
      </c>
      <c r="E458" s="5">
        <v>0</v>
      </c>
      <c r="F458" s="5">
        <v>0</v>
      </c>
      <c r="G458" s="5">
        <v>0</v>
      </c>
      <c r="H458" s="5">
        <v>0</v>
      </c>
      <c r="N458" s="5"/>
      <c r="Q458" s="5"/>
    </row>
    <row r="459" spans="1:17" x14ac:dyDescent="0.2">
      <c r="A459" s="2" t="s">
        <v>8</v>
      </c>
      <c r="B459" s="5">
        <v>1.19812470014921E-2</v>
      </c>
      <c r="D459" s="5">
        <v>1.0633370933259599E-2</v>
      </c>
      <c r="E459" s="5">
        <v>1.05966237855695E-2</v>
      </c>
      <c r="F459" s="5">
        <v>1.0602704238205401E-2</v>
      </c>
      <c r="G459" s="5">
        <v>1.05941797226735E-2</v>
      </c>
      <c r="H459" s="5">
        <v>1.0584271007121801E-2</v>
      </c>
      <c r="N459" s="5"/>
      <c r="Q459" s="5"/>
    </row>
    <row r="460" spans="1:17" x14ac:dyDescent="0.2">
      <c r="A460" s="2" t="s">
        <v>43</v>
      </c>
      <c r="B460" s="5">
        <v>3.3446021117574901E-2</v>
      </c>
      <c r="D460" s="5">
        <v>2.9683383435840899E-2</v>
      </c>
      <c r="E460" s="5">
        <v>2.9580802637907001E-2</v>
      </c>
      <c r="F460" s="5">
        <v>2.9597776409271501E-2</v>
      </c>
      <c r="G460" s="5">
        <v>2.9573979960833299E-2</v>
      </c>
      <c r="H460" s="5">
        <v>2.95463194752804E-2</v>
      </c>
      <c r="N460" s="5"/>
      <c r="Q460" s="5"/>
    </row>
    <row r="461" spans="1:17" x14ac:dyDescent="0.2">
      <c r="A461" s="2" t="s">
        <v>44</v>
      </c>
      <c r="B461" s="5">
        <v>3.3446021117574901E-2</v>
      </c>
      <c r="D461" s="5">
        <v>2.9683383435840899E-2</v>
      </c>
      <c r="E461" s="5">
        <v>2.9580802637907001E-2</v>
      </c>
      <c r="F461" s="5">
        <v>2.9597776409271501E-2</v>
      </c>
      <c r="G461" s="5">
        <v>2.9573979960833299E-2</v>
      </c>
      <c r="H461" s="5">
        <v>2.95463194752804E-2</v>
      </c>
      <c r="N461" s="5"/>
      <c r="Q461" s="5"/>
    </row>
    <row r="462" spans="1:17" x14ac:dyDescent="0.2">
      <c r="A462" s="2" t="s">
        <v>9</v>
      </c>
      <c r="B462" s="5">
        <v>2.24862109830514E-2</v>
      </c>
      <c r="D462" s="5">
        <v>2.21945218794544E-2</v>
      </c>
      <c r="E462" s="5">
        <v>2.2637091627422098E-2</v>
      </c>
      <c r="F462" s="5">
        <v>2.2851472036871202E-2</v>
      </c>
      <c r="G462" s="5">
        <v>2.37723964049763E-2</v>
      </c>
      <c r="H462" s="5">
        <v>2.4683713677792801E-2</v>
      </c>
      <c r="N462" s="5"/>
      <c r="Q462" s="5"/>
    </row>
    <row r="463" spans="1:17" x14ac:dyDescent="0.2">
      <c r="A463" s="2" t="s">
        <v>10</v>
      </c>
      <c r="B463" s="5">
        <v>0</v>
      </c>
      <c r="D463" s="5">
        <v>0</v>
      </c>
      <c r="E463" s="5">
        <v>0</v>
      </c>
      <c r="F463" s="5">
        <v>0</v>
      </c>
      <c r="G463" s="5">
        <v>0</v>
      </c>
      <c r="H463" s="5">
        <v>0</v>
      </c>
      <c r="N463" s="5"/>
      <c r="Q463" s="5"/>
    </row>
    <row r="464" spans="1:17" x14ac:dyDescent="0.2">
      <c r="A464" s="2" t="s">
        <v>11</v>
      </c>
      <c r="B464" s="5">
        <v>3.26826631652932E-4</v>
      </c>
      <c r="D464" s="5">
        <v>2.8919420746406302E-4</v>
      </c>
      <c r="E464" s="5">
        <v>2.85608659740383E-4</v>
      </c>
      <c r="F464" s="5">
        <v>2.8654576816112599E-4</v>
      </c>
      <c r="G464" s="5">
        <v>2.8683688845397901E-4</v>
      </c>
      <c r="H464" s="5">
        <v>2.84922503275594E-4</v>
      </c>
      <c r="N464" s="5"/>
      <c r="Q464" s="5"/>
    </row>
    <row r="465" spans="1:17" x14ac:dyDescent="0.2">
      <c r="A465" s="2" t="s">
        <v>45</v>
      </c>
      <c r="B465" s="5">
        <v>2.7496795056669902E-3</v>
      </c>
      <c r="D465" s="5">
        <v>2.5889666831766002E-3</v>
      </c>
      <c r="E465" s="5">
        <v>2.5883004684140701E-3</v>
      </c>
      <c r="F465" s="5">
        <v>2.5947492882236098E-3</v>
      </c>
      <c r="G465" s="5">
        <v>2.61134709120831E-3</v>
      </c>
      <c r="H465" s="5">
        <v>2.6096309005670601E-3</v>
      </c>
      <c r="N465" s="5"/>
      <c r="Q465" s="5"/>
    </row>
    <row r="466" spans="1:17" x14ac:dyDescent="0.2">
      <c r="A466" s="2" t="s">
        <v>4</v>
      </c>
      <c r="B466" s="5">
        <v>0.13642899018865701</v>
      </c>
      <c r="D466" s="5">
        <v>0.14541501930943901</v>
      </c>
      <c r="E466" s="5">
        <v>0.148592251292678</v>
      </c>
      <c r="F466" s="5">
        <v>0.14879985101052001</v>
      </c>
      <c r="G466" s="5">
        <v>0.15130080929808501</v>
      </c>
      <c r="H466" s="5">
        <v>0.152806505043378</v>
      </c>
      <c r="N466" s="5"/>
      <c r="Q466" s="5"/>
    </row>
    <row r="467" spans="1:17" x14ac:dyDescent="0.2">
      <c r="A467" s="2" t="s">
        <v>12</v>
      </c>
      <c r="B467" s="5">
        <v>6.0506351983546799E-2</v>
      </c>
      <c r="D467" s="5">
        <v>6.2188352535130997E-2</v>
      </c>
      <c r="E467" s="5">
        <v>6.3198206545283506E-2</v>
      </c>
      <c r="F467" s="5">
        <v>6.3275876126757294E-2</v>
      </c>
      <c r="G467" s="5">
        <v>6.4091862056425003E-2</v>
      </c>
      <c r="H467" s="5">
        <v>6.4552278466697796E-2</v>
      </c>
      <c r="N467" s="5"/>
      <c r="Q467" s="5"/>
    </row>
    <row r="468" spans="1:17" x14ac:dyDescent="0.2">
      <c r="A468" s="2" t="s">
        <v>5</v>
      </c>
      <c r="B468" s="5">
        <v>2.4790677256634498E-4</v>
      </c>
      <c r="D468" s="5">
        <v>2.6410546719618099E-4</v>
      </c>
      <c r="E468" s="5">
        <v>2.7074301004024001E-4</v>
      </c>
      <c r="F468" s="5">
        <v>2.7311581449451002E-4</v>
      </c>
      <c r="G468" s="5">
        <v>2.8397390215089899E-4</v>
      </c>
      <c r="H468" s="5">
        <v>2.91970220586074E-4</v>
      </c>
      <c r="N468" s="5"/>
      <c r="Q468" s="5"/>
    </row>
    <row r="469" spans="1:17" x14ac:dyDescent="0.2">
      <c r="A469" s="2" t="s">
        <v>13</v>
      </c>
      <c r="B469" s="5">
        <v>3.1704529795435099E-3</v>
      </c>
      <c r="D469" s="5">
        <v>3.34982462668648E-3</v>
      </c>
      <c r="E469" s="5">
        <v>3.4208371591726299E-3</v>
      </c>
      <c r="F469" s="5">
        <v>3.4244499849293902E-3</v>
      </c>
      <c r="G469" s="5">
        <v>3.47733050665805E-3</v>
      </c>
      <c r="H469" s="5">
        <v>3.5106981549405201E-3</v>
      </c>
      <c r="N469" s="5"/>
      <c r="Q469" s="5"/>
    </row>
    <row r="470" spans="1:17" x14ac:dyDescent="0.2">
      <c r="A470" s="2" t="s">
        <v>14</v>
      </c>
      <c r="B470" s="5">
        <v>2.00056897479991E-2</v>
      </c>
      <c r="D470" s="5">
        <v>2.0494961177445498E-2</v>
      </c>
      <c r="E470" s="5">
        <v>2.0796534703975501E-2</v>
      </c>
      <c r="F470" s="5">
        <v>2.08287553723411E-2</v>
      </c>
      <c r="G470" s="5">
        <v>2.1096129600246202E-2</v>
      </c>
      <c r="H470" s="5">
        <v>2.1231682951693798E-2</v>
      </c>
      <c r="N470" s="5"/>
      <c r="Q470" s="5"/>
    </row>
    <row r="471" spans="1:17" x14ac:dyDescent="0.2">
      <c r="A471" s="3" t="s">
        <v>15</v>
      </c>
      <c r="B471" s="5">
        <v>6.4700577561489503E-3</v>
      </c>
      <c r="D471" s="5">
        <v>7.5566591564369999E-3</v>
      </c>
      <c r="E471" s="5">
        <v>7.7583241072708403E-3</v>
      </c>
      <c r="F471" s="5">
        <v>7.7975136958900997E-3</v>
      </c>
      <c r="G471" s="5">
        <v>8.0311810198671098E-3</v>
      </c>
      <c r="H471" s="5">
        <v>8.1310883867267095E-3</v>
      </c>
      <c r="N471" s="5"/>
      <c r="Q471" s="5"/>
    </row>
    <row r="472" spans="1:17" x14ac:dyDescent="0.2">
      <c r="A472" s="6" t="s">
        <v>30</v>
      </c>
      <c r="B472" s="7">
        <v>135.68168377722699</v>
      </c>
      <c r="D472" s="7">
        <v>158.46848308379899</v>
      </c>
      <c r="E472" s="7">
        <v>162.69753962746799</v>
      </c>
      <c r="F472" s="7">
        <v>163.51937299696201</v>
      </c>
      <c r="G472" s="7">
        <v>168.41954192245899</v>
      </c>
      <c r="H472" s="7">
        <v>170.51467001373001</v>
      </c>
      <c r="N472" s="7"/>
      <c r="Q472" s="7"/>
    </row>
    <row r="476" spans="1:17" x14ac:dyDescent="0.2">
      <c r="A476" s="4" t="s">
        <v>54</v>
      </c>
      <c r="B476" s="8" t="s">
        <v>19</v>
      </c>
      <c r="D476" s="8" t="s">
        <v>17</v>
      </c>
      <c r="E476" s="8" t="s">
        <v>27</v>
      </c>
      <c r="F476" s="8" t="s">
        <v>21</v>
      </c>
      <c r="G476" s="8" t="s">
        <v>23</v>
      </c>
      <c r="H476" s="8" t="s">
        <v>29</v>
      </c>
    </row>
    <row r="477" spans="1:17" x14ac:dyDescent="0.2">
      <c r="A477" s="2" t="s">
        <v>6</v>
      </c>
      <c r="B477" s="5">
        <v>0.27830668330484998</v>
      </c>
      <c r="D477" s="5">
        <v>0.26861174466207299</v>
      </c>
      <c r="E477" s="5">
        <v>0.25394790851891103</v>
      </c>
      <c r="F477" s="5">
        <v>0.25001719243859599</v>
      </c>
      <c r="G477" s="5">
        <v>0.229592693608273</v>
      </c>
      <c r="H477" s="5">
        <v>0.21531525426311501</v>
      </c>
    </row>
    <row r="478" spans="1:17" x14ac:dyDescent="0.2">
      <c r="A478" s="2" t="s">
        <v>0</v>
      </c>
      <c r="B478" s="5">
        <v>0.142631067287109</v>
      </c>
      <c r="D478" s="5">
        <v>0.15056157110356599</v>
      </c>
      <c r="E478" s="5">
        <v>0.155065670015996</v>
      </c>
      <c r="F478" s="5">
        <v>0.15567257303197199</v>
      </c>
      <c r="G478" s="5">
        <v>0.15949693249711799</v>
      </c>
      <c r="H478" s="5">
        <v>0.16074070531133899</v>
      </c>
    </row>
    <row r="479" spans="1:17" x14ac:dyDescent="0.2">
      <c r="A479" s="2" t="s">
        <v>1</v>
      </c>
      <c r="B479" s="5">
        <v>0</v>
      </c>
      <c r="D479" s="5">
        <v>0</v>
      </c>
      <c r="E479" s="5">
        <v>0</v>
      </c>
      <c r="F479" s="5">
        <v>0</v>
      </c>
      <c r="G479" s="5">
        <v>0</v>
      </c>
      <c r="H479" s="5">
        <v>0</v>
      </c>
    </row>
    <row r="480" spans="1:17" x14ac:dyDescent="0.2">
      <c r="A480" s="2" t="s">
        <v>2</v>
      </c>
      <c r="B480" s="5">
        <v>8.5905663386122606E-3</v>
      </c>
      <c r="D480" s="5">
        <v>8.5545574646052197E-3</v>
      </c>
      <c r="E480" s="5">
        <v>8.3472158884675407E-3</v>
      </c>
      <c r="F480" s="5">
        <v>8.2793829687874895E-3</v>
      </c>
      <c r="G480" s="5">
        <v>7.9406046143955505E-3</v>
      </c>
      <c r="H480" s="5">
        <v>7.6746114198869998E-3</v>
      </c>
    </row>
    <row r="481" spans="1:8" x14ac:dyDescent="0.2">
      <c r="A481" s="2" t="s">
        <v>3</v>
      </c>
      <c r="B481" s="5">
        <v>0.13261728234450201</v>
      </c>
      <c r="D481" s="5">
        <v>0.131951172457099</v>
      </c>
      <c r="E481" s="5">
        <v>0.13559566772244699</v>
      </c>
      <c r="F481" s="5">
        <v>0.13729345067733001</v>
      </c>
      <c r="G481" s="5">
        <v>0.14466291307759499</v>
      </c>
      <c r="H481" s="5">
        <v>0.152038712621751</v>
      </c>
    </row>
    <row r="482" spans="1:8" x14ac:dyDescent="0.2">
      <c r="A482" s="3" t="s">
        <v>52</v>
      </c>
      <c r="B482" s="5">
        <v>0.13060228821223299</v>
      </c>
      <c r="D482" s="5">
        <v>0.13078285888659399</v>
      </c>
      <c r="E482" s="5">
        <v>0.13307373980234499</v>
      </c>
      <c r="F482" s="5">
        <v>0.133896200749761</v>
      </c>
      <c r="G482" s="5">
        <v>0.13774352816909</v>
      </c>
      <c r="H482" s="5">
        <v>0.14114578551332099</v>
      </c>
    </row>
    <row r="483" spans="1:8" x14ac:dyDescent="0.2">
      <c r="A483" s="2" t="s">
        <v>7</v>
      </c>
      <c r="B483" s="5">
        <v>0</v>
      </c>
      <c r="D483" s="5">
        <v>0</v>
      </c>
      <c r="E483" s="5">
        <v>0</v>
      </c>
      <c r="F483" s="5">
        <v>0</v>
      </c>
      <c r="G483" s="5">
        <v>0</v>
      </c>
      <c r="H483" s="5">
        <v>0</v>
      </c>
    </row>
    <row r="484" spans="1:8" x14ac:dyDescent="0.2">
      <c r="A484" s="2" t="s">
        <v>8</v>
      </c>
      <c r="B484" s="5">
        <v>1.2740137254953401E-2</v>
      </c>
      <c r="D484" s="5">
        <v>1.1438553006868E-2</v>
      </c>
      <c r="E484" s="5">
        <v>1.1432317416760001E-2</v>
      </c>
      <c r="F484" s="5">
        <v>1.14358184635651E-2</v>
      </c>
      <c r="G484" s="5">
        <v>1.14234233078953E-2</v>
      </c>
      <c r="H484" s="5">
        <v>1.1447006915071599E-2</v>
      </c>
    </row>
    <row r="485" spans="1:8" x14ac:dyDescent="0.2">
      <c r="A485" s="2" t="s">
        <v>43</v>
      </c>
      <c r="B485" s="5">
        <v>3.5564486703004099E-2</v>
      </c>
      <c r="D485" s="5">
        <v>3.1931074067212198E-2</v>
      </c>
      <c r="E485" s="5">
        <v>3.19136672248021E-2</v>
      </c>
      <c r="F485" s="5">
        <v>3.1923440505109098E-2</v>
      </c>
      <c r="G485" s="5">
        <v>3.1888839045158199E-2</v>
      </c>
      <c r="H485" s="5">
        <v>3.19546734131122E-2</v>
      </c>
    </row>
    <row r="486" spans="1:8" x14ac:dyDescent="0.2">
      <c r="A486" s="2" t="s">
        <v>44</v>
      </c>
      <c r="B486" s="5">
        <v>3.5564486703004099E-2</v>
      </c>
      <c r="D486" s="5">
        <v>3.1931074067212198E-2</v>
      </c>
      <c r="E486" s="5">
        <v>3.19136672248021E-2</v>
      </c>
      <c r="F486" s="5">
        <v>3.1923440505109098E-2</v>
      </c>
      <c r="G486" s="5">
        <v>3.1888839045158199E-2</v>
      </c>
      <c r="H486" s="5">
        <v>3.19546734131122E-2</v>
      </c>
    </row>
    <row r="487" spans="1:8" x14ac:dyDescent="0.2">
      <c r="A487" s="2" t="s">
        <v>9</v>
      </c>
      <c r="B487" s="5">
        <v>2.3034602520290801E-2</v>
      </c>
      <c r="D487" s="5">
        <v>2.3019121007354301E-2</v>
      </c>
      <c r="E487" s="5">
        <v>2.35184853744815E-2</v>
      </c>
      <c r="F487" s="5">
        <v>2.3751915124539301E-2</v>
      </c>
      <c r="G487" s="5">
        <v>2.4757365605103301E-2</v>
      </c>
      <c r="H487" s="5">
        <v>2.5776562098276602E-2</v>
      </c>
    </row>
    <row r="488" spans="1:8" x14ac:dyDescent="0.2">
      <c r="A488" s="2" t="s">
        <v>10</v>
      </c>
      <c r="B488" s="5">
        <v>0</v>
      </c>
      <c r="D488" s="5">
        <v>0</v>
      </c>
      <c r="E488" s="5">
        <v>0</v>
      </c>
      <c r="F488" s="5">
        <v>0</v>
      </c>
      <c r="G488" s="5">
        <v>0</v>
      </c>
      <c r="H488" s="5">
        <v>0</v>
      </c>
    </row>
    <row r="489" spans="1:8" x14ac:dyDescent="0.2">
      <c r="A489" s="2" t="s">
        <v>11</v>
      </c>
      <c r="B489" s="5">
        <v>2.7800806821048901E-4</v>
      </c>
      <c r="D489" s="5">
        <v>2.4947397364759202E-4</v>
      </c>
      <c r="E489" s="5">
        <v>2.4842697874584202E-4</v>
      </c>
      <c r="F489" s="5">
        <v>2.4837974234223501E-4</v>
      </c>
      <c r="G489" s="5">
        <v>2.4494497537723599E-4</v>
      </c>
      <c r="H489" s="5">
        <v>2.4668084697879601E-4</v>
      </c>
    </row>
    <row r="490" spans="1:8" x14ac:dyDescent="0.2">
      <c r="A490" s="2" t="s">
        <v>45</v>
      </c>
      <c r="B490" s="5">
        <v>3.24191921640808E-3</v>
      </c>
      <c r="D490" s="5">
        <v>3.0456934209824901E-3</v>
      </c>
      <c r="E490" s="5">
        <v>3.05375423092026E-3</v>
      </c>
      <c r="F490" s="5">
        <v>3.0559638265303499E-3</v>
      </c>
      <c r="G490" s="5">
        <v>3.0471687766742898E-3</v>
      </c>
      <c r="H490" s="5">
        <v>3.06753091492966E-3</v>
      </c>
    </row>
    <row r="491" spans="1:8" x14ac:dyDescent="0.2">
      <c r="A491" s="2" t="s">
        <v>4</v>
      </c>
      <c r="B491" s="5">
        <v>0.116886950282306</v>
      </c>
      <c r="D491" s="5">
        <v>0.124517215069693</v>
      </c>
      <c r="E491" s="5">
        <v>0.12704345138847001</v>
      </c>
      <c r="F491" s="5">
        <v>0.127431154042911</v>
      </c>
      <c r="G491" s="5">
        <v>0.13054985759235099</v>
      </c>
      <c r="H491" s="5">
        <v>0.13134901631743501</v>
      </c>
    </row>
    <row r="492" spans="1:8" x14ac:dyDescent="0.2">
      <c r="A492" s="2" t="s">
        <v>12</v>
      </c>
      <c r="B492" s="5">
        <v>5.3863174645189499E-2</v>
      </c>
      <c r="D492" s="5">
        <v>5.5677278984015303E-2</v>
      </c>
      <c r="E492" s="5">
        <v>5.6583953108671203E-2</v>
      </c>
      <c r="F492" s="5">
        <v>5.6723683065911301E-2</v>
      </c>
      <c r="G492" s="5">
        <v>5.7815378839244001E-2</v>
      </c>
      <c r="H492" s="5">
        <v>5.81103068381396E-2</v>
      </c>
    </row>
    <row r="493" spans="1:8" x14ac:dyDescent="0.2">
      <c r="A493" s="2" t="s">
        <v>5</v>
      </c>
      <c r="B493" s="5">
        <v>2.11024652036851E-4</v>
      </c>
      <c r="D493" s="5">
        <v>2.2690096690502001E-4</v>
      </c>
      <c r="E493" s="5">
        <v>2.33354900666489E-4</v>
      </c>
      <c r="F493" s="5">
        <v>2.35332180879781E-4</v>
      </c>
      <c r="G493" s="5">
        <v>2.4464592589416298E-4</v>
      </c>
      <c r="H493" s="5">
        <v>2.5231561242817699E-4</v>
      </c>
    </row>
    <row r="494" spans="1:8" x14ac:dyDescent="0.2">
      <c r="A494" s="2" t="s">
        <v>13</v>
      </c>
      <c r="B494" s="5">
        <v>2.7426458479984E-3</v>
      </c>
      <c r="D494" s="5">
        <v>2.8992169598531302E-3</v>
      </c>
      <c r="E494" s="5">
        <v>2.95565368782639E-3</v>
      </c>
      <c r="F494" s="5">
        <v>2.96422717686034E-3</v>
      </c>
      <c r="G494" s="5">
        <v>3.0354424103167699E-3</v>
      </c>
      <c r="H494" s="5">
        <v>3.0513704940863199E-3</v>
      </c>
    </row>
    <row r="495" spans="1:8" x14ac:dyDescent="0.2">
      <c r="A495" s="2" t="s">
        <v>14</v>
      </c>
      <c r="B495" s="5">
        <v>1.8169272192211702E-2</v>
      </c>
      <c r="D495" s="5">
        <v>1.87611209633568E-2</v>
      </c>
      <c r="E495" s="5">
        <v>1.9056430528578701E-2</v>
      </c>
      <c r="F495" s="5">
        <v>1.9102560736623399E-2</v>
      </c>
      <c r="G495" s="5">
        <v>1.9442053219223099E-2</v>
      </c>
      <c r="H495" s="5">
        <v>1.95524169405565E-2</v>
      </c>
    </row>
    <row r="496" spans="1:8" x14ac:dyDescent="0.2">
      <c r="A496" s="3" t="s">
        <v>15</v>
      </c>
      <c r="B496" s="5">
        <v>4.9554044270798698E-3</v>
      </c>
      <c r="D496" s="5">
        <v>5.8413729389619204E-3</v>
      </c>
      <c r="E496" s="5">
        <v>6.0166359871091099E-3</v>
      </c>
      <c r="F496" s="5">
        <v>6.0452847631723402E-3</v>
      </c>
      <c r="G496" s="5">
        <v>6.22536929113293E-3</v>
      </c>
      <c r="H496" s="5">
        <v>6.3223770664606596E-3</v>
      </c>
    </row>
    <row r="497" spans="1:8" x14ac:dyDescent="0.2">
      <c r="A497" s="6" t="s">
        <v>30</v>
      </c>
      <c r="B497" s="7">
        <v>144.369694958624</v>
      </c>
      <c r="D497" s="7">
        <v>170.181312495214</v>
      </c>
      <c r="E497" s="7">
        <v>175.28738873447099</v>
      </c>
      <c r="F497" s="7">
        <v>176.122036061388</v>
      </c>
      <c r="G497" s="7">
        <v>181.36858026479601</v>
      </c>
      <c r="H497" s="7">
        <v>184.19478408680499</v>
      </c>
    </row>
    <row r="501" spans="1:8" x14ac:dyDescent="0.2">
      <c r="A501" s="4" t="s">
        <v>55</v>
      </c>
      <c r="B501" s="8" t="s">
        <v>19</v>
      </c>
      <c r="D501" s="8" t="s">
        <v>17</v>
      </c>
      <c r="E501" s="8" t="s">
        <v>27</v>
      </c>
      <c r="F501" s="8" t="s">
        <v>21</v>
      </c>
      <c r="G501" s="8" t="s">
        <v>23</v>
      </c>
      <c r="H501" s="8" t="s">
        <v>29</v>
      </c>
    </row>
    <row r="502" spans="1:8" x14ac:dyDescent="0.2">
      <c r="A502" s="2" t="s">
        <v>6</v>
      </c>
      <c r="B502" s="5">
        <v>0.27564672963701697</v>
      </c>
      <c r="D502" s="5">
        <v>0.26574761949611497</v>
      </c>
      <c r="E502" s="5">
        <v>0.25117402563255098</v>
      </c>
      <c r="F502" s="5">
        <v>0.247286341000064</v>
      </c>
      <c r="G502" s="5">
        <v>0.22752268494614999</v>
      </c>
      <c r="H502" s="5">
        <v>0.21337724246176601</v>
      </c>
    </row>
    <row r="503" spans="1:8" x14ac:dyDescent="0.2">
      <c r="A503" s="2" t="s">
        <v>0</v>
      </c>
      <c r="B503" s="5">
        <v>0.141401803800496</v>
      </c>
      <c r="D503" s="5">
        <v>0.149115066481918</v>
      </c>
      <c r="E503" s="5">
        <v>0.15353823028455599</v>
      </c>
      <c r="F503" s="5">
        <v>0.15413956585102601</v>
      </c>
      <c r="G503" s="5">
        <v>0.15819796843292</v>
      </c>
      <c r="H503" s="5">
        <v>0.15943690602678701</v>
      </c>
    </row>
    <row r="504" spans="1:8" x14ac:dyDescent="0.2">
      <c r="A504" s="2" t="s">
        <v>1</v>
      </c>
      <c r="B504" s="5">
        <v>0</v>
      </c>
      <c r="D504" s="5">
        <v>0</v>
      </c>
      <c r="E504" s="5">
        <v>0</v>
      </c>
      <c r="F504" s="5">
        <v>0</v>
      </c>
      <c r="G504" s="5">
        <v>0</v>
      </c>
      <c r="H504" s="5">
        <v>0</v>
      </c>
    </row>
    <row r="505" spans="1:8" x14ac:dyDescent="0.2">
      <c r="A505" s="2" t="s">
        <v>2</v>
      </c>
      <c r="B505" s="5">
        <v>8.5111945599497998E-3</v>
      </c>
      <c r="D505" s="5">
        <v>8.4665854281232803E-3</v>
      </c>
      <c r="E505" s="5">
        <v>8.2594337942267105E-3</v>
      </c>
      <c r="F505" s="5">
        <v>8.1923654459408208E-3</v>
      </c>
      <c r="G505" s="5">
        <v>7.8718500689606095E-3</v>
      </c>
      <c r="H505" s="5">
        <v>7.6084520099706301E-3</v>
      </c>
    </row>
    <row r="506" spans="1:8" x14ac:dyDescent="0.2">
      <c r="A506" s="2" t="s">
        <v>3</v>
      </c>
      <c r="B506" s="5">
        <v>0.131459062929873</v>
      </c>
      <c r="D506" s="5">
        <v>0.13079563777091299</v>
      </c>
      <c r="E506" s="5">
        <v>0.13439613437270401</v>
      </c>
      <c r="F506" s="5">
        <v>0.13606643750495001</v>
      </c>
      <c r="G506" s="5">
        <v>0.14338223728033</v>
      </c>
      <c r="H506" s="5">
        <v>0.15063686245073801</v>
      </c>
    </row>
    <row r="507" spans="1:8" x14ac:dyDescent="0.2">
      <c r="A507" s="3" t="s">
        <v>52</v>
      </c>
      <c r="B507" s="5">
        <v>0.131130473771366</v>
      </c>
      <c r="D507" s="5">
        <v>0.131458044947835</v>
      </c>
      <c r="E507" s="5">
        <v>0.133746002392753</v>
      </c>
      <c r="F507" s="5">
        <v>0.13455885384024799</v>
      </c>
      <c r="G507" s="5">
        <v>0.13839232904916701</v>
      </c>
      <c r="H507" s="5">
        <v>0.14174490929341199</v>
      </c>
    </row>
    <row r="508" spans="1:8" x14ac:dyDescent="0.2">
      <c r="A508" s="2" t="s">
        <v>7</v>
      </c>
      <c r="B508" s="5">
        <v>0</v>
      </c>
      <c r="D508" s="5">
        <v>0</v>
      </c>
      <c r="E508" s="5">
        <v>0</v>
      </c>
      <c r="F508" s="5">
        <v>0</v>
      </c>
      <c r="G508" s="5">
        <v>0</v>
      </c>
      <c r="H508" s="5">
        <v>0</v>
      </c>
    </row>
    <row r="509" spans="1:8" x14ac:dyDescent="0.2">
      <c r="A509" s="2" t="s">
        <v>8</v>
      </c>
      <c r="B509" s="5">
        <v>1.2588746117317501E-2</v>
      </c>
      <c r="D509" s="5">
        <v>1.1293303786579299E-2</v>
      </c>
      <c r="E509" s="5">
        <v>1.1284260783856E-2</v>
      </c>
      <c r="F509" s="5">
        <v>1.1287293221218899E-2</v>
      </c>
      <c r="G509" s="5">
        <v>1.12950844179272E-2</v>
      </c>
      <c r="H509" s="5">
        <v>1.13162096139317E-2</v>
      </c>
    </row>
    <row r="510" spans="1:8" x14ac:dyDescent="0.2">
      <c r="A510" s="2" t="s">
        <v>43</v>
      </c>
      <c r="B510" s="5">
        <v>3.5141873665667199E-2</v>
      </c>
      <c r="D510" s="5">
        <v>3.15256063818799E-2</v>
      </c>
      <c r="E510" s="5">
        <v>3.1500362560430303E-2</v>
      </c>
      <c r="F510" s="5">
        <v>3.1508827703003901E-2</v>
      </c>
      <c r="G510" s="5">
        <v>3.1530577069293297E-2</v>
      </c>
      <c r="H510" s="5">
        <v>3.1589548706518498E-2</v>
      </c>
    </row>
    <row r="511" spans="1:8" x14ac:dyDescent="0.2">
      <c r="A511" s="2" t="s">
        <v>44</v>
      </c>
      <c r="B511" s="5">
        <v>3.5141873665667199E-2</v>
      </c>
      <c r="D511" s="5">
        <v>3.15256063818799E-2</v>
      </c>
      <c r="E511" s="5">
        <v>3.1500362560430303E-2</v>
      </c>
      <c r="F511" s="5">
        <v>3.1508827703003901E-2</v>
      </c>
      <c r="G511" s="5">
        <v>3.1530577069293297E-2</v>
      </c>
      <c r="H511" s="5">
        <v>3.1589548706518498E-2</v>
      </c>
    </row>
    <row r="512" spans="1:8" x14ac:dyDescent="0.2">
      <c r="A512" s="2" t="s">
        <v>9</v>
      </c>
      <c r="B512" s="5">
        <v>2.2907655255211198E-2</v>
      </c>
      <c r="D512" s="5">
        <v>2.2903234491782401E-2</v>
      </c>
      <c r="E512" s="5">
        <v>2.3394531006602499E-2</v>
      </c>
      <c r="F512" s="5">
        <v>2.36233699800668E-2</v>
      </c>
      <c r="G512" s="5">
        <v>2.46250093682405E-2</v>
      </c>
      <c r="H512" s="5">
        <v>2.5624720831033499E-2</v>
      </c>
    </row>
    <row r="513" spans="1:8" x14ac:dyDescent="0.2">
      <c r="A513" s="2" t="s">
        <v>10</v>
      </c>
      <c r="B513" s="5">
        <v>0</v>
      </c>
      <c r="D513" s="5">
        <v>0</v>
      </c>
      <c r="E513" s="5">
        <v>0</v>
      </c>
      <c r="F513" s="5">
        <v>0</v>
      </c>
      <c r="G513" s="5">
        <v>0</v>
      </c>
      <c r="H513" s="5">
        <v>0</v>
      </c>
    </row>
    <row r="514" spans="1:8" x14ac:dyDescent="0.2">
      <c r="A514" s="2" t="s">
        <v>11</v>
      </c>
      <c r="B514" s="5">
        <v>2.7231628056730901E-4</v>
      </c>
      <c r="D514" s="5">
        <v>2.4453729635479798E-4</v>
      </c>
      <c r="E514" s="5">
        <v>2.4351141219471599E-4</v>
      </c>
      <c r="F514" s="5">
        <v>2.4348363204749601E-4</v>
      </c>
      <c r="G514" s="5">
        <v>2.4396397705543001E-4</v>
      </c>
      <c r="H514" s="5">
        <v>2.4552046650456799E-4</v>
      </c>
    </row>
    <row r="515" spans="1:8" x14ac:dyDescent="0.2">
      <c r="A515" s="2" t="s">
        <v>45</v>
      </c>
      <c r="B515" s="5">
        <v>3.2189869232683E-3</v>
      </c>
      <c r="D515" s="5">
        <v>3.0289253037725501E-3</v>
      </c>
      <c r="E515" s="5">
        <v>3.03726798988314E-3</v>
      </c>
      <c r="F515" s="5">
        <v>3.0396454935938499E-3</v>
      </c>
      <c r="G515" s="5">
        <v>3.0597542177953699E-3</v>
      </c>
      <c r="H515" s="5">
        <v>3.07889210391262E-3</v>
      </c>
    </row>
    <row r="516" spans="1:8" x14ac:dyDescent="0.2">
      <c r="A516" s="2" t="s">
        <v>4</v>
      </c>
      <c r="B516" s="5">
        <v>0.120584966266535</v>
      </c>
      <c r="D516" s="5">
        <v>0.128418959886092</v>
      </c>
      <c r="E516" s="5">
        <v>0.13099684350794899</v>
      </c>
      <c r="F516" s="5">
        <v>0.13138974637557199</v>
      </c>
      <c r="G516" s="5">
        <v>0.133792421544185</v>
      </c>
      <c r="H516" s="5">
        <v>0.13464526734787399</v>
      </c>
    </row>
    <row r="517" spans="1:8" x14ac:dyDescent="0.2">
      <c r="A517" s="2" t="s">
        <v>12</v>
      </c>
      <c r="B517" s="5">
        <v>5.5165134366064197E-2</v>
      </c>
      <c r="D517" s="5">
        <v>5.6970463425281802E-2</v>
      </c>
      <c r="E517" s="5">
        <v>5.7881671799502203E-2</v>
      </c>
      <c r="F517" s="5">
        <v>5.8021244466514701E-2</v>
      </c>
      <c r="G517" s="5">
        <v>5.8872667615396002E-2</v>
      </c>
      <c r="H517" s="5">
        <v>5.9181963064933597E-2</v>
      </c>
    </row>
    <row r="518" spans="1:8" x14ac:dyDescent="0.2">
      <c r="A518" s="2" t="s">
        <v>5</v>
      </c>
      <c r="B518" s="5">
        <v>2.0900647535098801E-4</v>
      </c>
      <c r="D518" s="5">
        <v>2.24480147998405E-4</v>
      </c>
      <c r="E518" s="5">
        <v>2.3080445637618999E-4</v>
      </c>
      <c r="F518" s="5">
        <v>2.3276022318286199E-4</v>
      </c>
      <c r="G518" s="5">
        <v>2.4243870001500401E-4</v>
      </c>
      <c r="H518" s="5">
        <v>2.50043051369972E-4</v>
      </c>
    </row>
    <row r="519" spans="1:8" x14ac:dyDescent="0.2">
      <c r="A519" s="2" t="s">
        <v>13</v>
      </c>
      <c r="B519" s="5">
        <v>2.8267392839439898E-3</v>
      </c>
      <c r="D519" s="5">
        <v>2.98582236507556E-3</v>
      </c>
      <c r="E519" s="5">
        <v>3.0431168471345398E-3</v>
      </c>
      <c r="F519" s="5">
        <v>3.0517417958889599E-3</v>
      </c>
      <c r="G519" s="5">
        <v>3.1036878168974498E-3</v>
      </c>
      <c r="H519" s="5">
        <v>3.1207952102930399E-3</v>
      </c>
    </row>
    <row r="520" spans="1:8" x14ac:dyDescent="0.2">
      <c r="A520" s="2" t="s">
        <v>14</v>
      </c>
      <c r="B520" s="5">
        <v>1.85917061585519E-2</v>
      </c>
      <c r="D520" s="5">
        <v>1.9171209952460001E-2</v>
      </c>
      <c r="E520" s="5">
        <v>1.9466434886199799E-2</v>
      </c>
      <c r="F520" s="5">
        <v>1.9512456005744899E-2</v>
      </c>
      <c r="G520" s="5">
        <v>1.9798351208054701E-2</v>
      </c>
      <c r="H520" s="5">
        <v>1.9912733300315899E-2</v>
      </c>
    </row>
    <row r="521" spans="1:8" x14ac:dyDescent="0.2">
      <c r="A521" s="3" t="s">
        <v>15</v>
      </c>
      <c r="B521" s="5">
        <v>5.2017308431537802E-3</v>
      </c>
      <c r="D521" s="5">
        <v>6.1248964559389397E-3</v>
      </c>
      <c r="E521" s="5">
        <v>6.3070057126503E-3</v>
      </c>
      <c r="F521" s="5">
        <v>6.33703975793465E-3</v>
      </c>
      <c r="G521" s="5">
        <v>6.53839721831939E-3</v>
      </c>
      <c r="H521" s="5">
        <v>6.64038535412059E-3</v>
      </c>
    </row>
    <row r="522" spans="1:8" x14ac:dyDescent="0.2">
      <c r="A522" s="6" t="s">
        <v>30</v>
      </c>
      <c r="B522" s="7">
        <v>142.98898635562699</v>
      </c>
      <c r="D522" s="7">
        <v>168.36563870386399</v>
      </c>
      <c r="E522" s="7">
        <v>173.37159130110999</v>
      </c>
      <c r="F522" s="7">
        <v>174.19718912990399</v>
      </c>
      <c r="G522" s="7">
        <v>179.73225044420701</v>
      </c>
      <c r="H522" s="7">
        <v>182.53577500127199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F21BE-0E37-4353-AC7E-B1F04EDF1575}">
  <dimension ref="A1:K34"/>
  <sheetViews>
    <sheetView workbookViewId="0">
      <selection activeCell="B10" sqref="B10"/>
    </sheetView>
  </sheetViews>
  <sheetFormatPr defaultRowHeight="14.25" x14ac:dyDescent="0.2"/>
  <cols>
    <col min="1" max="1" width="33.75" bestFit="1" customWidth="1"/>
  </cols>
  <sheetData>
    <row r="1" spans="1:11" x14ac:dyDescent="0.2"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78</v>
      </c>
      <c r="J1" s="1" t="s">
        <v>79</v>
      </c>
      <c r="K1" s="1" t="s">
        <v>80</v>
      </c>
    </row>
    <row r="2" spans="1:11" x14ac:dyDescent="0.2">
      <c r="A2" s="16" t="s">
        <v>19</v>
      </c>
      <c r="B2" s="5">
        <f>RMM!B2/RMM!N2</f>
        <v>4.3998326529577324E-2</v>
      </c>
      <c r="C2" s="5">
        <f>RMM!C2/RMM!N2</f>
        <v>0</v>
      </c>
      <c r="D2" s="5">
        <f>RMM!D2/RMM!N2</f>
        <v>0</v>
      </c>
      <c r="E2" s="5">
        <f>RMM!E2/RMM!N2</f>
        <v>0</v>
      </c>
      <c r="F2" s="5">
        <f>RMM!L2/RMM!N2</f>
        <v>0.35399604452445549</v>
      </c>
      <c r="G2" s="5">
        <f>RMM!J2/RMM!N2</f>
        <v>0</v>
      </c>
      <c r="H2" s="5">
        <v>0</v>
      </c>
      <c r="I2" s="5">
        <v>0</v>
      </c>
      <c r="J2" s="5">
        <v>0</v>
      </c>
      <c r="K2" s="5">
        <v>0</v>
      </c>
    </row>
    <row r="3" spans="1:11" x14ac:dyDescent="0.2">
      <c r="A3" s="16" t="s">
        <v>16</v>
      </c>
      <c r="B3" s="5">
        <f>RMM!B3/RMM!N3</f>
        <v>3.838772654621072E-2</v>
      </c>
      <c r="C3" s="5">
        <f>RMM!C3/RMM!N3</f>
        <v>0</v>
      </c>
      <c r="D3" s="5">
        <f>RMM!D3/RMM!N3</f>
        <v>0</v>
      </c>
      <c r="E3" s="5">
        <f>RMM!E3/RMM!N3</f>
        <v>0.60767754530924212</v>
      </c>
      <c r="F3" s="5">
        <f>RMM!L3/RMM!N3</f>
        <v>0</v>
      </c>
      <c r="G3" s="5">
        <f>RMM!J3/RMM!N3</f>
        <v>0</v>
      </c>
      <c r="H3" s="5">
        <v>0</v>
      </c>
      <c r="I3" s="5">
        <v>0</v>
      </c>
      <c r="J3" s="5">
        <v>0</v>
      </c>
      <c r="K3" s="5">
        <v>0</v>
      </c>
    </row>
    <row r="4" spans="1:11" x14ac:dyDescent="0.2">
      <c r="A4" s="16" t="s">
        <v>18</v>
      </c>
      <c r="B4" s="5">
        <f>RMM!B4/RMM!N4</f>
        <v>7.195703933568548E-2</v>
      </c>
      <c r="C4" s="5">
        <f>RMM!C4/RMM!N4</f>
        <v>0.20282257646493718</v>
      </c>
      <c r="D4" s="5">
        <f>RMM!D4/RMM!N4</f>
        <v>0.20365193291888545</v>
      </c>
      <c r="E4" s="5">
        <f>RMM!E4/RMM!N4</f>
        <v>0.18984660361253847</v>
      </c>
      <c r="F4" s="5">
        <f>RMM!L4/RMM!N4</f>
        <v>0</v>
      </c>
      <c r="G4" s="5">
        <f>RMM!J4/RMM!N4</f>
        <v>0</v>
      </c>
      <c r="H4" s="5">
        <v>0</v>
      </c>
      <c r="I4" s="5">
        <v>0</v>
      </c>
      <c r="J4" s="5">
        <v>0</v>
      </c>
      <c r="K4" s="5">
        <v>0</v>
      </c>
    </row>
    <row r="5" spans="1:11" x14ac:dyDescent="0.2">
      <c r="A5" s="16" t="s">
        <v>28</v>
      </c>
      <c r="B5" s="5">
        <f>RMM!B5/RMM!N5</f>
        <v>7.1887606352954575E-2</v>
      </c>
      <c r="C5" s="5">
        <f>RMM!C5/RMM!N5</f>
        <v>0.3039403025265785</v>
      </c>
      <c r="D5" s="5">
        <f>RMM!D5/RMM!N5</f>
        <v>0.1220732547240649</v>
      </c>
      <c r="E5" s="5">
        <f>RMM!E5/RMM!N5</f>
        <v>0.17069707467880502</v>
      </c>
      <c r="F5" s="5">
        <f>RMM!L5/RMM!N5</f>
        <v>0</v>
      </c>
      <c r="G5" s="5">
        <f>RMM!J5/RMM!N5</f>
        <v>0</v>
      </c>
      <c r="H5" s="5">
        <v>0</v>
      </c>
      <c r="I5" s="5">
        <v>0</v>
      </c>
      <c r="J5" s="5">
        <v>0</v>
      </c>
      <c r="K5" s="5">
        <v>0</v>
      </c>
    </row>
    <row r="6" spans="1:11" x14ac:dyDescent="0.2">
      <c r="A6" s="16" t="s">
        <v>22</v>
      </c>
      <c r="B6" s="5">
        <f>RMM!B6/RMM!N6</f>
        <v>7.1609115950850621E-2</v>
      </c>
      <c r="C6" s="5">
        <f>RMM!C6/RMM!N6</f>
        <v>0.36331541643883664</v>
      </c>
      <c r="D6" s="5">
        <f>RMM!D6/RMM!N6</f>
        <v>0.12160034664548278</v>
      </c>
      <c r="E6" s="5">
        <f>RMM!E6/RMM!N6</f>
        <v>0.113357199599707</v>
      </c>
      <c r="F6" s="5">
        <f>RMM!L6/RMM!N6</f>
        <v>0</v>
      </c>
      <c r="G6" s="5">
        <f>RMM!J6/RMM!N6</f>
        <v>0</v>
      </c>
      <c r="H6" s="5">
        <v>0</v>
      </c>
      <c r="I6" s="5">
        <v>0</v>
      </c>
      <c r="J6" s="5">
        <v>0</v>
      </c>
      <c r="K6" s="5">
        <v>0</v>
      </c>
    </row>
    <row r="7" spans="1:11" x14ac:dyDescent="0.2">
      <c r="A7" s="16" t="s">
        <v>24</v>
      </c>
      <c r="B7" s="5">
        <f>RMM!B7/RMM!N7</f>
        <v>7.1350373404741957E-2</v>
      </c>
      <c r="C7" s="5">
        <f>RMM!C7/RMM!N7</f>
        <v>0.4826702165387719</v>
      </c>
      <c r="D7" s="5">
        <f>RMM!D7/RMM!N7</f>
        <v>6.0580486325625377E-2</v>
      </c>
      <c r="E7" s="5">
        <f>RMM!E7/RMM!N7</f>
        <v>5.6473805130524621E-2</v>
      </c>
      <c r="F7" s="5">
        <f>RMM!L7/RMM!N7</f>
        <v>0</v>
      </c>
      <c r="G7" s="5">
        <f>RMM!J7/RMM!N7</f>
        <v>0</v>
      </c>
      <c r="H7" s="5">
        <v>0</v>
      </c>
      <c r="I7" s="5">
        <v>0</v>
      </c>
      <c r="J7" s="5">
        <v>0</v>
      </c>
      <c r="K7" s="5">
        <v>0</v>
      </c>
    </row>
    <row r="8" spans="1:11" x14ac:dyDescent="0.2">
      <c r="A8" s="16" t="s">
        <v>29</v>
      </c>
      <c r="B8" s="5">
        <f>RMM!B8/RMM!N8</f>
        <v>7.1221702045789773E-2</v>
      </c>
      <c r="C8" s="5">
        <f>RMM!C8/RMM!N8</f>
        <v>0.54202475469762068</v>
      </c>
      <c r="D8" s="5">
        <f>RMM!D8/RMM!N8</f>
        <v>3.0235618546783808E-2</v>
      </c>
      <c r="E8" s="5">
        <f>RMM!E8/RMM!N8</f>
        <v>2.8185980888860384E-2</v>
      </c>
      <c r="F8" s="5">
        <f>RMM!L8/RMM!N8</f>
        <v>0</v>
      </c>
      <c r="G8" s="5">
        <f>RMM!J8/RMM!N8</f>
        <v>0</v>
      </c>
      <c r="H8" s="5">
        <v>0</v>
      </c>
      <c r="I8" s="5">
        <v>0</v>
      </c>
      <c r="J8" s="5">
        <v>0</v>
      </c>
      <c r="K8" s="5">
        <v>0</v>
      </c>
    </row>
    <row r="9" spans="1:11" x14ac:dyDescent="0.2">
      <c r="A9" s="16" t="s">
        <v>25</v>
      </c>
      <c r="B9" s="5">
        <f>RMM!B9/RMM!N9</f>
        <v>7.2240039674258932E-2</v>
      </c>
      <c r="C9" s="5">
        <f>RMM!C9/RMM!N9</f>
        <v>0.48868862107492056</v>
      </c>
      <c r="D9" s="5">
        <f>RMM!D9/RMM!N9</f>
        <v>9.2003794657609175E-2</v>
      </c>
      <c r="E9" s="5">
        <f>RMM!E9/RMM!N9</f>
        <v>0</v>
      </c>
      <c r="F9" s="5">
        <f>RMM!L9/RMM!N9</f>
        <v>0</v>
      </c>
      <c r="G9" s="5">
        <f>RMM!J9/RMM!N9</f>
        <v>1.4041065772157142E-2</v>
      </c>
      <c r="H9" s="5">
        <v>0</v>
      </c>
      <c r="I9" s="5">
        <v>0</v>
      </c>
      <c r="J9" s="5">
        <v>0</v>
      </c>
      <c r="K9" s="5">
        <v>0</v>
      </c>
    </row>
    <row r="10" spans="1:11" x14ac:dyDescent="0.2">
      <c r="A10" s="18" t="s">
        <v>76</v>
      </c>
      <c r="B10" s="5">
        <f>RMM!B12/RMM!$N$12</f>
        <v>6.0476554552840747E-2</v>
      </c>
      <c r="C10" s="5">
        <f>RMM!C12/RMM!$N$12</f>
        <v>0</v>
      </c>
      <c r="D10" s="5">
        <f>RMM!D12/RMM!$N$12</f>
        <v>0</v>
      </c>
      <c r="E10" s="5">
        <f>RMM!E12/RMM!$N$12</f>
        <v>0</v>
      </c>
      <c r="F10" s="5">
        <f>RMM!L12/RMM!$N$12</f>
        <v>0</v>
      </c>
      <c r="G10" s="5">
        <f>RMM!J12/RMM!$N$12</f>
        <v>0</v>
      </c>
      <c r="H10" s="5">
        <v>0</v>
      </c>
      <c r="I10" s="5">
        <v>0</v>
      </c>
      <c r="J10" s="5">
        <v>0</v>
      </c>
      <c r="K10" s="5">
        <v>0</v>
      </c>
    </row>
    <row r="11" spans="1:11" x14ac:dyDescent="0.2">
      <c r="A11" s="20" t="s">
        <v>0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17">
        <v>1</v>
      </c>
      <c r="J11" s="5">
        <v>0</v>
      </c>
      <c r="K11" s="5">
        <v>0</v>
      </c>
    </row>
    <row r="12" spans="1:11" x14ac:dyDescent="0.2">
      <c r="A12" s="2" t="s">
        <v>1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</row>
    <row r="13" spans="1:11" x14ac:dyDescent="0.2">
      <c r="A13" s="2" t="s">
        <v>2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</row>
    <row r="14" spans="1:11" x14ac:dyDescent="0.2">
      <c r="A14" s="20" t="s">
        <v>3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17">
        <v>1</v>
      </c>
      <c r="I14" s="5">
        <v>0</v>
      </c>
      <c r="J14" s="5">
        <v>0</v>
      </c>
      <c r="K14" s="5">
        <v>0</v>
      </c>
    </row>
    <row r="15" spans="1:11" x14ac:dyDescent="0.2">
      <c r="A15" s="22" t="s">
        <v>52</v>
      </c>
      <c r="B15" s="5">
        <v>0</v>
      </c>
      <c r="C15" s="5">
        <v>0</v>
      </c>
      <c r="D15" s="5">
        <v>0</v>
      </c>
      <c r="E15" s="5">
        <v>0</v>
      </c>
      <c r="F15" s="24">
        <v>0</v>
      </c>
      <c r="G15" s="17">
        <v>1</v>
      </c>
      <c r="H15" s="25">
        <v>0</v>
      </c>
      <c r="I15" s="5">
        <v>0</v>
      </c>
      <c r="J15" s="5">
        <v>0</v>
      </c>
      <c r="K15" s="5">
        <v>0</v>
      </c>
    </row>
    <row r="16" spans="1:11" x14ac:dyDescent="0.2">
      <c r="A16" s="2" t="s">
        <v>7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24">
        <v>0</v>
      </c>
      <c r="H16" s="5">
        <v>0</v>
      </c>
      <c r="I16" s="5">
        <v>0</v>
      </c>
      <c r="J16" s="5">
        <v>0</v>
      </c>
      <c r="K16" s="5">
        <v>0</v>
      </c>
    </row>
    <row r="17" spans="1:11" x14ac:dyDescent="0.2">
      <c r="A17" s="2" t="s">
        <v>8</v>
      </c>
      <c r="B17" s="17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</row>
    <row r="18" spans="1:11" x14ac:dyDescent="0.2">
      <c r="A18" s="2" t="s">
        <v>43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</row>
    <row r="19" spans="1:11" x14ac:dyDescent="0.2">
      <c r="A19" s="2" t="s">
        <v>44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</row>
    <row r="20" spans="1:11" x14ac:dyDescent="0.2">
      <c r="A20" s="20" t="s">
        <v>9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17">
        <v>1</v>
      </c>
    </row>
    <row r="21" spans="1:11" x14ac:dyDescent="0.2">
      <c r="A21" s="20" t="s">
        <v>10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17">
        <v>1</v>
      </c>
    </row>
    <row r="22" spans="1:11" x14ac:dyDescent="0.2">
      <c r="A22" s="20" t="s">
        <v>11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17">
        <v>1</v>
      </c>
    </row>
    <row r="23" spans="1:11" x14ac:dyDescent="0.2">
      <c r="A23" s="20" t="s">
        <v>45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17">
        <v>1</v>
      </c>
    </row>
    <row r="24" spans="1:11" x14ac:dyDescent="0.2">
      <c r="A24" s="20" t="s">
        <v>4</v>
      </c>
      <c r="B24" s="5">
        <v>0</v>
      </c>
      <c r="C24" s="5">
        <v>0</v>
      </c>
      <c r="D24" s="5">
        <v>0</v>
      </c>
      <c r="E24" s="5">
        <v>0</v>
      </c>
      <c r="F24" s="17">
        <v>0</v>
      </c>
      <c r="G24" s="5">
        <v>0</v>
      </c>
      <c r="H24" s="5">
        <v>0</v>
      </c>
      <c r="I24" s="5">
        <v>0</v>
      </c>
      <c r="J24" s="17">
        <v>1</v>
      </c>
      <c r="K24" s="5">
        <v>0</v>
      </c>
    </row>
    <row r="25" spans="1:11" x14ac:dyDescent="0.2">
      <c r="A25" s="20" t="s">
        <v>12</v>
      </c>
      <c r="B25" s="5">
        <v>0</v>
      </c>
      <c r="C25" s="5">
        <v>0</v>
      </c>
      <c r="D25" s="5">
        <v>0</v>
      </c>
      <c r="E25" s="5">
        <v>0</v>
      </c>
      <c r="F25" s="17">
        <v>0</v>
      </c>
      <c r="G25" s="5">
        <v>0</v>
      </c>
      <c r="H25" s="5">
        <v>0</v>
      </c>
      <c r="I25" s="5">
        <v>0</v>
      </c>
      <c r="J25" s="17">
        <v>1</v>
      </c>
      <c r="K25" s="5">
        <v>0</v>
      </c>
    </row>
    <row r="26" spans="1:11" x14ac:dyDescent="0.2">
      <c r="A26" s="2" t="s">
        <v>5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</row>
    <row r="27" spans="1:11" x14ac:dyDescent="0.2">
      <c r="A27" s="2" t="s">
        <v>13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</row>
    <row r="28" spans="1:11" x14ac:dyDescent="0.2">
      <c r="A28" s="2" t="s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</row>
    <row r="29" spans="1:11" x14ac:dyDescent="0.2">
      <c r="A29" s="3" t="s">
        <v>15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</row>
    <row r="30" spans="1:11" x14ac:dyDescent="0.2">
      <c r="A30" s="6"/>
      <c r="I30" s="5"/>
      <c r="K30" s="5"/>
    </row>
    <row r="32" spans="1:11" x14ac:dyDescent="0.2">
      <c r="I32" s="5"/>
    </row>
    <row r="33" spans="9:9" x14ac:dyDescent="0.2">
      <c r="I33" s="5"/>
    </row>
    <row r="34" spans="9:9" x14ac:dyDescent="0.2">
      <c r="I34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0075A-3302-41A9-9A83-0CF6E07B2AC7}">
  <dimension ref="A1:O25"/>
  <sheetViews>
    <sheetView workbookViewId="0">
      <selection activeCell="J23" sqref="J23"/>
    </sheetView>
  </sheetViews>
  <sheetFormatPr defaultRowHeight="14.25" x14ac:dyDescent="0.2"/>
  <cols>
    <col min="1" max="1" width="10.125" bestFit="1" customWidth="1"/>
  </cols>
  <sheetData>
    <row r="1" spans="1:15" x14ac:dyDescent="0.2">
      <c r="A1" s="1"/>
      <c r="B1" s="9" t="s">
        <v>63</v>
      </c>
      <c r="C1" s="9" t="s">
        <v>64</v>
      </c>
      <c r="D1" s="9" t="s">
        <v>65</v>
      </c>
      <c r="E1" s="9" t="s">
        <v>66</v>
      </c>
      <c r="F1" s="9" t="s">
        <v>67</v>
      </c>
      <c r="G1" s="9" t="s">
        <v>68</v>
      </c>
      <c r="H1" s="9" t="s">
        <v>69</v>
      </c>
      <c r="I1" s="9" t="s">
        <v>70</v>
      </c>
      <c r="J1" s="9" t="s">
        <v>61</v>
      </c>
      <c r="K1" s="9" t="s">
        <v>71</v>
      </c>
      <c r="L1" s="9" t="s">
        <v>72</v>
      </c>
      <c r="M1" s="9" t="s">
        <v>77</v>
      </c>
      <c r="N1" s="9" t="s">
        <v>73</v>
      </c>
      <c r="O1" s="1"/>
    </row>
    <row r="2" spans="1:15" x14ac:dyDescent="0.2">
      <c r="A2" s="1" t="s">
        <v>19</v>
      </c>
      <c r="B2" s="14">
        <f>B$14*B15</f>
        <v>6.9409999999999998</v>
      </c>
      <c r="C2" s="14">
        <f t="shared" ref="C2:M2" si="0">C$14*C15</f>
        <v>0</v>
      </c>
      <c r="D2" s="14">
        <f t="shared" si="0"/>
        <v>0</v>
      </c>
      <c r="E2" s="14">
        <f t="shared" si="0"/>
        <v>0</v>
      </c>
      <c r="F2" s="14">
        <f t="shared" si="0"/>
        <v>0</v>
      </c>
      <c r="G2" s="14">
        <f t="shared" si="0"/>
        <v>0</v>
      </c>
      <c r="H2" s="14">
        <f t="shared" si="0"/>
        <v>63.996000000000002</v>
      </c>
      <c r="I2" s="14">
        <f t="shared" si="0"/>
        <v>0</v>
      </c>
      <c r="J2" s="14">
        <f t="shared" si="0"/>
        <v>0</v>
      </c>
      <c r="K2" s="14">
        <f t="shared" si="0"/>
        <v>30.974</v>
      </c>
      <c r="L2" s="14">
        <f t="shared" si="0"/>
        <v>55.844999999999999</v>
      </c>
      <c r="M2" s="14">
        <f t="shared" si="0"/>
        <v>0</v>
      </c>
      <c r="N2" s="14">
        <f>SUM(B2:L2)</f>
        <v>157.756</v>
      </c>
      <c r="O2" s="11">
        <v>1</v>
      </c>
    </row>
    <row r="3" spans="1:15" x14ac:dyDescent="0.2">
      <c r="A3" s="1" t="s">
        <v>16</v>
      </c>
      <c r="B3" s="14">
        <f t="shared" ref="B3:M12" si="1">B$14*B16</f>
        <v>6.9409999999999998</v>
      </c>
      <c r="C3" s="14">
        <f t="shared" si="1"/>
        <v>0</v>
      </c>
      <c r="D3" s="14">
        <f t="shared" si="1"/>
        <v>0</v>
      </c>
      <c r="E3" s="14">
        <f t="shared" si="1"/>
        <v>109.876</v>
      </c>
      <c r="F3" s="14">
        <f t="shared" si="1"/>
        <v>0</v>
      </c>
      <c r="G3" s="14">
        <f t="shared" si="1"/>
        <v>0</v>
      </c>
      <c r="H3" s="14">
        <f t="shared" si="1"/>
        <v>63.996000000000002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ref="N3:N11" si="2">SUM(B3:L3)</f>
        <v>180.81300000000002</v>
      </c>
      <c r="O3" s="11">
        <v>2</v>
      </c>
    </row>
    <row r="4" spans="1:15" x14ac:dyDescent="0.2">
      <c r="A4" s="1" t="s">
        <v>18</v>
      </c>
      <c r="B4" s="14">
        <f t="shared" si="1"/>
        <v>6.9409999999999998</v>
      </c>
      <c r="C4" s="14">
        <f t="shared" si="1"/>
        <v>19.56433333333333</v>
      </c>
      <c r="D4" s="14">
        <f t="shared" si="1"/>
        <v>19.644333333333332</v>
      </c>
      <c r="E4" s="14">
        <f t="shared" si="1"/>
        <v>18.312666666666665</v>
      </c>
      <c r="F4" s="14">
        <f t="shared" si="1"/>
        <v>0</v>
      </c>
      <c r="G4" s="14">
        <f t="shared" si="1"/>
        <v>0</v>
      </c>
      <c r="H4" s="14">
        <f t="shared" si="1"/>
        <v>31.998000000000001</v>
      </c>
      <c r="I4" s="14">
        <f t="shared" si="1"/>
        <v>0</v>
      </c>
      <c r="J4" s="14">
        <f t="shared" si="1"/>
        <v>0</v>
      </c>
      <c r="K4" s="14">
        <f t="shared" si="1"/>
        <v>0</v>
      </c>
      <c r="L4" s="14">
        <f t="shared" si="1"/>
        <v>0</v>
      </c>
      <c r="M4" s="14">
        <f t="shared" si="1"/>
        <v>0</v>
      </c>
      <c r="N4" s="14">
        <f t="shared" si="2"/>
        <v>96.460333333333338</v>
      </c>
      <c r="O4" s="11">
        <v>3</v>
      </c>
    </row>
    <row r="5" spans="1:15" x14ac:dyDescent="0.2">
      <c r="A5" s="1" t="s">
        <v>28</v>
      </c>
      <c r="B5" s="14">
        <f t="shared" si="1"/>
        <v>6.9409999999999998</v>
      </c>
      <c r="C5" s="14">
        <f t="shared" si="1"/>
        <v>29.346499999999999</v>
      </c>
      <c r="D5" s="14">
        <f t="shared" si="1"/>
        <v>11.7866</v>
      </c>
      <c r="E5" s="14">
        <f t="shared" si="1"/>
        <v>16.481400000000001</v>
      </c>
      <c r="F5" s="14">
        <f t="shared" si="1"/>
        <v>0</v>
      </c>
      <c r="G5" s="14">
        <f t="shared" si="1"/>
        <v>0</v>
      </c>
      <c r="H5" s="14">
        <f t="shared" si="1"/>
        <v>31.998000000000001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2"/>
        <v>96.5535</v>
      </c>
      <c r="O5" s="11">
        <v>4</v>
      </c>
    </row>
    <row r="6" spans="1:15" x14ac:dyDescent="0.2">
      <c r="A6" s="1" t="s">
        <v>22</v>
      </c>
      <c r="B6" s="14">
        <f t="shared" si="1"/>
        <v>6.9409999999999998</v>
      </c>
      <c r="C6" s="14">
        <f t="shared" si="1"/>
        <v>35.215799999999994</v>
      </c>
      <c r="D6" s="14">
        <f t="shared" si="1"/>
        <v>11.7866</v>
      </c>
      <c r="E6" s="14">
        <f t="shared" si="1"/>
        <v>10.9876</v>
      </c>
      <c r="F6" s="14">
        <f t="shared" si="1"/>
        <v>0</v>
      </c>
      <c r="G6" s="14">
        <f t="shared" si="1"/>
        <v>0</v>
      </c>
      <c r="H6" s="14">
        <f t="shared" si="1"/>
        <v>31.998000000000001</v>
      </c>
      <c r="I6" s="14">
        <f t="shared" si="1"/>
        <v>0</v>
      </c>
      <c r="J6" s="14">
        <f t="shared" si="1"/>
        <v>0</v>
      </c>
      <c r="K6" s="14">
        <f t="shared" si="1"/>
        <v>0</v>
      </c>
      <c r="L6" s="14">
        <f t="shared" si="1"/>
        <v>0</v>
      </c>
      <c r="M6" s="14">
        <f t="shared" si="1"/>
        <v>0</v>
      </c>
      <c r="N6" s="14">
        <f t="shared" si="2"/>
        <v>96.929000000000002</v>
      </c>
      <c r="O6" s="11">
        <v>5</v>
      </c>
    </row>
    <row r="7" spans="1:15" x14ac:dyDescent="0.2">
      <c r="A7" s="1" t="s">
        <v>24</v>
      </c>
      <c r="B7" s="14">
        <f t="shared" si="1"/>
        <v>6.9409999999999998</v>
      </c>
      <c r="C7" s="14">
        <f t="shared" si="1"/>
        <v>46.9544</v>
      </c>
      <c r="D7" s="14">
        <f t="shared" si="1"/>
        <v>5.8933</v>
      </c>
      <c r="E7" s="14">
        <f t="shared" si="1"/>
        <v>5.4938000000000002</v>
      </c>
      <c r="F7" s="14">
        <f t="shared" si="1"/>
        <v>0</v>
      </c>
      <c r="G7" s="14">
        <f t="shared" si="1"/>
        <v>0</v>
      </c>
      <c r="H7" s="14">
        <f t="shared" si="1"/>
        <v>31.998000000000001</v>
      </c>
      <c r="I7" s="14">
        <f t="shared" si="1"/>
        <v>0</v>
      </c>
      <c r="J7" s="14">
        <f t="shared" si="1"/>
        <v>0</v>
      </c>
      <c r="K7" s="14">
        <f t="shared" si="1"/>
        <v>0</v>
      </c>
      <c r="L7" s="14">
        <f t="shared" si="1"/>
        <v>0</v>
      </c>
      <c r="M7" s="14">
        <f t="shared" si="1"/>
        <v>0</v>
      </c>
      <c r="N7" s="14">
        <f t="shared" si="2"/>
        <v>97.280500000000004</v>
      </c>
      <c r="O7" s="11">
        <v>6</v>
      </c>
    </row>
    <row r="8" spans="1:15" x14ac:dyDescent="0.2">
      <c r="A8" s="1" t="s">
        <v>29</v>
      </c>
      <c r="B8" s="14">
        <f t="shared" si="1"/>
        <v>6.9409999999999998</v>
      </c>
      <c r="C8" s="14">
        <f t="shared" si="1"/>
        <v>52.823700000000002</v>
      </c>
      <c r="D8" s="14">
        <f t="shared" si="1"/>
        <v>2.94665</v>
      </c>
      <c r="E8" s="14">
        <f t="shared" si="1"/>
        <v>2.7469000000000001</v>
      </c>
      <c r="F8" s="14">
        <f t="shared" si="1"/>
        <v>0</v>
      </c>
      <c r="G8" s="14">
        <f t="shared" si="1"/>
        <v>0</v>
      </c>
      <c r="H8" s="14">
        <f t="shared" si="1"/>
        <v>31.998000000000001</v>
      </c>
      <c r="I8" s="14">
        <f t="shared" si="1"/>
        <v>0</v>
      </c>
      <c r="J8" s="14">
        <f t="shared" si="1"/>
        <v>0</v>
      </c>
      <c r="K8" s="14">
        <f t="shared" si="1"/>
        <v>0</v>
      </c>
      <c r="L8" s="14">
        <f t="shared" si="1"/>
        <v>0</v>
      </c>
      <c r="M8" s="14">
        <f t="shared" si="1"/>
        <v>0</v>
      </c>
      <c r="N8" s="14">
        <f t="shared" si="2"/>
        <v>97.456250000000011</v>
      </c>
      <c r="O8" s="11">
        <v>7</v>
      </c>
    </row>
    <row r="9" spans="1:15" x14ac:dyDescent="0.2">
      <c r="A9" s="1" t="s">
        <v>25</v>
      </c>
      <c r="B9" s="14">
        <f t="shared" si="1"/>
        <v>6.9409999999999998</v>
      </c>
      <c r="C9" s="14">
        <f t="shared" si="1"/>
        <v>46.9544</v>
      </c>
      <c r="D9" s="14">
        <f t="shared" si="1"/>
        <v>8.83995</v>
      </c>
      <c r="E9" s="14">
        <f t="shared" si="1"/>
        <v>0</v>
      </c>
      <c r="F9" s="14">
        <f t="shared" si="1"/>
        <v>0</v>
      </c>
      <c r="G9" s="14">
        <f t="shared" si="1"/>
        <v>0</v>
      </c>
      <c r="H9" s="14">
        <f t="shared" si="1"/>
        <v>31.998000000000001</v>
      </c>
      <c r="I9" s="14">
        <f t="shared" si="1"/>
        <v>0</v>
      </c>
      <c r="J9" s="14">
        <f t="shared" si="1"/>
        <v>1.3491</v>
      </c>
      <c r="K9" s="14">
        <f t="shared" si="1"/>
        <v>0</v>
      </c>
      <c r="L9" s="14">
        <f t="shared" si="1"/>
        <v>0</v>
      </c>
      <c r="M9" s="14">
        <f t="shared" si="1"/>
        <v>0</v>
      </c>
      <c r="N9" s="14">
        <f t="shared" si="2"/>
        <v>96.082449999999994</v>
      </c>
      <c r="O9" s="11">
        <v>8</v>
      </c>
    </row>
    <row r="10" spans="1:15" x14ac:dyDescent="0.2">
      <c r="A10" s="1" t="s">
        <v>74</v>
      </c>
      <c r="B10" s="14">
        <f t="shared" si="1"/>
        <v>6.9409999999999998</v>
      </c>
      <c r="C10" s="14">
        <f t="shared" si="1"/>
        <v>0</v>
      </c>
      <c r="D10" s="14">
        <f t="shared" si="1"/>
        <v>0</v>
      </c>
      <c r="E10" s="14">
        <f t="shared" si="1"/>
        <v>0</v>
      </c>
      <c r="F10" s="14">
        <f t="shared" si="1"/>
        <v>0</v>
      </c>
      <c r="G10" s="14">
        <f t="shared" si="1"/>
        <v>0</v>
      </c>
      <c r="H10" s="14">
        <f t="shared" si="1"/>
        <v>0</v>
      </c>
      <c r="I10" s="14">
        <f t="shared" si="1"/>
        <v>113.988</v>
      </c>
      <c r="J10" s="14">
        <f t="shared" si="1"/>
        <v>0</v>
      </c>
      <c r="K10" s="14">
        <f t="shared" si="1"/>
        <v>30.974</v>
      </c>
      <c r="L10" s="14">
        <f t="shared" si="1"/>
        <v>0</v>
      </c>
      <c r="M10" s="14">
        <f t="shared" si="1"/>
        <v>0</v>
      </c>
      <c r="N10" s="14">
        <f t="shared" si="2"/>
        <v>151.90299999999999</v>
      </c>
      <c r="O10" s="11">
        <v>9</v>
      </c>
    </row>
    <row r="11" spans="1:15" x14ac:dyDescent="0.2">
      <c r="A11" s="1" t="s">
        <v>75</v>
      </c>
      <c r="B11" s="14">
        <f t="shared" si="1"/>
        <v>0</v>
      </c>
      <c r="C11" s="14">
        <f t="shared" si="1"/>
        <v>0</v>
      </c>
      <c r="D11" s="14">
        <f t="shared" si="1"/>
        <v>0</v>
      </c>
      <c r="E11" s="14">
        <f t="shared" si="1"/>
        <v>0</v>
      </c>
      <c r="F11" s="14">
        <f t="shared" si="1"/>
        <v>2.016</v>
      </c>
      <c r="G11" s="14">
        <f t="shared" si="1"/>
        <v>24.021999999999998</v>
      </c>
      <c r="H11" s="14">
        <f t="shared" si="1"/>
        <v>0</v>
      </c>
      <c r="I11" s="14">
        <f t="shared" si="1"/>
        <v>37.996000000000002</v>
      </c>
      <c r="J11" s="14">
        <f t="shared" si="1"/>
        <v>0</v>
      </c>
      <c r="K11" s="14">
        <f t="shared" si="1"/>
        <v>0</v>
      </c>
      <c r="L11" s="14">
        <f t="shared" si="1"/>
        <v>0</v>
      </c>
      <c r="M11" s="14">
        <f t="shared" si="1"/>
        <v>0</v>
      </c>
      <c r="N11" s="14">
        <f t="shared" si="2"/>
        <v>64.033999999999992</v>
      </c>
      <c r="O11" s="11">
        <v>10</v>
      </c>
    </row>
    <row r="12" spans="1:15" x14ac:dyDescent="0.2">
      <c r="A12" s="4" t="s">
        <v>76</v>
      </c>
      <c r="B12" s="14">
        <f t="shared" si="1"/>
        <v>27.763999999999999</v>
      </c>
      <c r="C12" s="14">
        <f t="shared" si="1"/>
        <v>0</v>
      </c>
      <c r="D12" s="14">
        <f t="shared" si="1"/>
        <v>0</v>
      </c>
      <c r="E12" s="14">
        <f t="shared" si="1"/>
        <v>0</v>
      </c>
      <c r="F12" s="14">
        <f t="shared" si="1"/>
        <v>0</v>
      </c>
      <c r="G12" s="14">
        <f t="shared" si="1"/>
        <v>0</v>
      </c>
      <c r="H12" s="14">
        <f t="shared" si="1"/>
        <v>191.988</v>
      </c>
      <c r="I12" s="14">
        <f t="shared" si="1"/>
        <v>0</v>
      </c>
      <c r="J12" s="14">
        <f t="shared" si="1"/>
        <v>0</v>
      </c>
      <c r="K12" s="14">
        <f t="shared" si="1"/>
        <v>0</v>
      </c>
      <c r="L12" s="14">
        <f t="shared" si="1"/>
        <v>0</v>
      </c>
      <c r="M12" s="14">
        <f t="shared" si="1"/>
        <v>239.33499999999998</v>
      </c>
      <c r="N12" s="14">
        <f>SUM(B12:M12)</f>
        <v>459.08699999999999</v>
      </c>
      <c r="O12" s="11">
        <v>11</v>
      </c>
    </row>
    <row r="13" spans="1:15" x14ac:dyDescent="0.2">
      <c r="A13" s="1"/>
      <c r="B13" s="11">
        <v>1</v>
      </c>
      <c r="C13" s="11">
        <v>2</v>
      </c>
      <c r="D13" s="11">
        <v>3</v>
      </c>
      <c r="E13" s="11">
        <v>4</v>
      </c>
      <c r="F13" s="11">
        <v>5</v>
      </c>
      <c r="G13" s="11">
        <v>6</v>
      </c>
      <c r="H13" s="11">
        <v>7</v>
      </c>
      <c r="I13" s="11">
        <v>8</v>
      </c>
      <c r="J13" s="11">
        <v>9</v>
      </c>
      <c r="K13" s="11">
        <v>10</v>
      </c>
      <c r="L13" s="11">
        <v>11</v>
      </c>
      <c r="M13" s="11">
        <v>12</v>
      </c>
      <c r="N13" s="11"/>
      <c r="O13" s="9"/>
    </row>
    <row r="14" spans="1:15" x14ac:dyDescent="0.2">
      <c r="B14" s="12">
        <v>6.9409999999999998</v>
      </c>
      <c r="C14" s="12">
        <v>58.692999999999998</v>
      </c>
      <c r="D14" s="12">
        <v>58.933</v>
      </c>
      <c r="E14" s="12">
        <v>54.938000000000002</v>
      </c>
      <c r="F14" s="12">
        <v>1.008</v>
      </c>
      <c r="G14" s="12">
        <v>12.010999999999999</v>
      </c>
      <c r="H14" s="12">
        <v>15.999000000000001</v>
      </c>
      <c r="I14" s="12">
        <v>18.998000000000001</v>
      </c>
      <c r="J14" s="12">
        <v>26.981999999999999</v>
      </c>
      <c r="K14" s="12">
        <v>30.974</v>
      </c>
      <c r="L14" s="12">
        <v>55.844999999999999</v>
      </c>
      <c r="M14" s="19">
        <v>47.866999999999997</v>
      </c>
    </row>
    <row r="15" spans="1:15" x14ac:dyDescent="0.2">
      <c r="B15" s="13">
        <v>1</v>
      </c>
      <c r="C15" s="13"/>
      <c r="D15" s="13"/>
      <c r="E15" s="13"/>
      <c r="F15" s="13"/>
      <c r="G15" s="13"/>
      <c r="H15" s="13">
        <v>4</v>
      </c>
      <c r="I15" s="13"/>
      <c r="J15" s="13"/>
      <c r="K15" s="13">
        <v>1</v>
      </c>
      <c r="L15" s="13">
        <v>1</v>
      </c>
      <c r="M15" s="13"/>
    </row>
    <row r="16" spans="1:15" x14ac:dyDescent="0.2">
      <c r="B16" s="13">
        <v>1</v>
      </c>
      <c r="C16" s="13"/>
      <c r="D16" s="13"/>
      <c r="E16" s="13">
        <v>2</v>
      </c>
      <c r="F16" s="13"/>
      <c r="G16" s="13"/>
      <c r="H16" s="13">
        <v>4</v>
      </c>
      <c r="I16" s="13"/>
      <c r="J16" s="13"/>
      <c r="K16" s="13"/>
      <c r="L16" s="13"/>
      <c r="M16" s="13"/>
    </row>
    <row r="17" spans="2:13" x14ac:dyDescent="0.2">
      <c r="B17" s="13">
        <v>1</v>
      </c>
      <c r="C17" s="14">
        <v>0.33333333333333331</v>
      </c>
      <c r="D17" s="14">
        <v>0.33333333333333331</v>
      </c>
      <c r="E17" s="14">
        <v>0.33333333333333331</v>
      </c>
      <c r="F17" s="13"/>
      <c r="G17" s="13"/>
      <c r="H17" s="13">
        <v>2</v>
      </c>
      <c r="I17" s="13"/>
      <c r="J17" s="13"/>
      <c r="K17" s="13"/>
      <c r="L17" s="13"/>
      <c r="M17" s="13"/>
    </row>
    <row r="18" spans="2:13" x14ac:dyDescent="0.2">
      <c r="B18" s="13">
        <v>1</v>
      </c>
      <c r="C18" s="13">
        <v>0.5</v>
      </c>
      <c r="D18" s="15">
        <v>0.2</v>
      </c>
      <c r="E18" s="15">
        <v>0.3</v>
      </c>
      <c r="F18" s="13"/>
      <c r="G18" s="13"/>
      <c r="H18" s="13">
        <v>2</v>
      </c>
      <c r="I18" s="13"/>
      <c r="J18" s="13"/>
      <c r="K18" s="13"/>
      <c r="L18" s="13"/>
      <c r="M18" s="13"/>
    </row>
    <row r="19" spans="2:13" x14ac:dyDescent="0.2">
      <c r="B19" s="13">
        <v>1</v>
      </c>
      <c r="C19" s="15">
        <v>0.6</v>
      </c>
      <c r="D19" s="15">
        <v>0.2</v>
      </c>
      <c r="E19" s="15">
        <v>0.2</v>
      </c>
      <c r="F19" s="13"/>
      <c r="G19" s="13"/>
      <c r="H19" s="13">
        <v>2</v>
      </c>
      <c r="I19" s="13"/>
      <c r="J19" s="13"/>
      <c r="K19" s="13"/>
      <c r="L19" s="13"/>
      <c r="M19" s="13"/>
    </row>
    <row r="20" spans="2:13" x14ac:dyDescent="0.2">
      <c r="B20" s="13">
        <v>1</v>
      </c>
      <c r="C20" s="15">
        <v>0.8</v>
      </c>
      <c r="D20" s="15">
        <v>0.1</v>
      </c>
      <c r="E20" s="15">
        <v>0.1</v>
      </c>
      <c r="F20" s="13"/>
      <c r="G20" s="13"/>
      <c r="H20" s="13">
        <v>2</v>
      </c>
      <c r="I20" s="13"/>
      <c r="J20" s="13"/>
      <c r="K20" s="13"/>
      <c r="L20" s="13"/>
      <c r="M20" s="13"/>
    </row>
    <row r="21" spans="2:13" x14ac:dyDescent="0.2">
      <c r="B21" s="13">
        <v>1</v>
      </c>
      <c r="C21" s="15">
        <v>0.9</v>
      </c>
      <c r="D21" s="10">
        <v>0.05</v>
      </c>
      <c r="E21" s="10">
        <v>0.05</v>
      </c>
      <c r="F21" s="13"/>
      <c r="G21" s="13"/>
      <c r="H21" s="13">
        <v>2</v>
      </c>
      <c r="I21" s="13"/>
      <c r="J21" s="13"/>
      <c r="K21" s="13"/>
      <c r="L21" s="13"/>
      <c r="M21" s="13"/>
    </row>
    <row r="22" spans="2:13" x14ac:dyDescent="0.2">
      <c r="B22" s="13">
        <v>1</v>
      </c>
      <c r="C22" s="15">
        <v>0.8</v>
      </c>
      <c r="D22" s="10">
        <v>0.15</v>
      </c>
      <c r="E22" s="13"/>
      <c r="F22" s="13"/>
      <c r="G22" s="13"/>
      <c r="H22" s="13">
        <v>2</v>
      </c>
      <c r="I22" s="13"/>
      <c r="J22" s="10">
        <v>0.05</v>
      </c>
      <c r="K22" s="13"/>
      <c r="L22" s="13"/>
      <c r="M22" s="13"/>
    </row>
    <row r="23" spans="2:13" x14ac:dyDescent="0.2">
      <c r="B23" s="13">
        <v>1</v>
      </c>
      <c r="C23" s="13"/>
      <c r="D23" s="13"/>
      <c r="E23" s="13"/>
      <c r="F23" s="13"/>
      <c r="G23" s="13"/>
      <c r="H23" s="13"/>
      <c r="I23" s="13">
        <v>6</v>
      </c>
      <c r="J23" s="13"/>
      <c r="K23" s="13">
        <v>1</v>
      </c>
      <c r="L23" s="13"/>
      <c r="M23" s="13"/>
    </row>
    <row r="24" spans="2:13" x14ac:dyDescent="0.2">
      <c r="B24" s="13"/>
      <c r="C24" s="13"/>
      <c r="D24" s="13"/>
      <c r="E24" s="13"/>
      <c r="F24" s="13">
        <v>2</v>
      </c>
      <c r="G24" s="13">
        <v>2</v>
      </c>
      <c r="H24" s="13"/>
      <c r="I24" s="13">
        <v>2</v>
      </c>
      <c r="J24" s="13"/>
      <c r="K24" s="13"/>
      <c r="L24" s="13"/>
      <c r="M24" s="13"/>
    </row>
    <row r="25" spans="2:13" x14ac:dyDescent="0.2">
      <c r="B25" s="13">
        <v>4</v>
      </c>
      <c r="H25" s="13">
        <v>12</v>
      </c>
      <c r="M25">
        <v>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BatComp</vt:lpstr>
      <vt:lpstr>MatComp</vt:lpstr>
      <vt:lpstr>RMM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李昊阳</dc:creator>
  <cp:lastModifiedBy>昊阳 李</cp:lastModifiedBy>
  <dcterms:created xsi:type="dcterms:W3CDTF">2015-06-05T18:19:34Z</dcterms:created>
  <dcterms:modified xsi:type="dcterms:W3CDTF">2024-07-18T21:45:26Z</dcterms:modified>
</cp:coreProperties>
</file>